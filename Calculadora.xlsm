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emil\OneDrive\Escritorio\Calculadora Gerry - Copy\"/>
    </mc:Choice>
  </mc:AlternateContent>
  <xr:revisionPtr revIDLastSave="0" documentId="13_ncr:1_{A8E64CBD-50E8-4AE3-B4FF-85DE4A477814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alculadora" sheetId="37" r:id="rId1"/>
    <sheet name="CalculadoraVieja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2" i="1" l="1"/>
  <c r="F37" i="1"/>
  <c r="E37" i="1"/>
  <c r="F9" i="1"/>
  <c r="F8" i="1"/>
  <c r="F10" i="1"/>
  <c r="E9" i="1"/>
  <c r="F134" i="1"/>
  <c r="F133" i="1"/>
  <c r="F132" i="1"/>
  <c r="E131" i="1"/>
  <c r="F129" i="1"/>
  <c r="E129" i="1"/>
  <c r="F128" i="1"/>
  <c r="F127" i="1"/>
  <c r="F126" i="1"/>
  <c r="E126" i="1"/>
  <c r="F125" i="1"/>
  <c r="E125" i="1"/>
  <c r="F116" i="1"/>
  <c r="F115" i="1"/>
  <c r="F114" i="1"/>
  <c r="E114" i="1"/>
  <c r="F113" i="1"/>
  <c r="E113" i="1"/>
  <c r="F112" i="1"/>
  <c r="E112" i="1"/>
  <c r="F111" i="1"/>
  <c r="E111" i="1"/>
  <c r="F110" i="1"/>
  <c r="E110" i="1"/>
  <c r="F109" i="1"/>
  <c r="E109" i="1"/>
  <c r="F108" i="1"/>
  <c r="F107" i="1"/>
  <c r="F106" i="1"/>
  <c r="E106" i="1"/>
  <c r="F105" i="1"/>
  <c r="E105" i="1"/>
  <c r="F104" i="1"/>
  <c r="F103" i="1"/>
  <c r="F102" i="1"/>
  <c r="E102" i="1"/>
  <c r="F101" i="1"/>
  <c r="E101" i="1"/>
  <c r="F91" i="1"/>
  <c r="F90" i="1"/>
  <c r="F89" i="1"/>
  <c r="E89" i="1"/>
  <c r="F88" i="1"/>
  <c r="E88" i="1"/>
  <c r="F87" i="1"/>
  <c r="F86" i="1"/>
  <c r="F85" i="1"/>
  <c r="E85" i="1"/>
  <c r="F84" i="1"/>
  <c r="E84" i="1"/>
  <c r="F75" i="1"/>
  <c r="F74" i="1"/>
  <c r="F73" i="1"/>
  <c r="E73" i="1"/>
  <c r="F72" i="1"/>
  <c r="E71" i="1"/>
  <c r="F70" i="1"/>
  <c r="E70" i="1"/>
  <c r="F69" i="1"/>
  <c r="F68" i="1"/>
  <c r="F67" i="1"/>
  <c r="E67" i="1"/>
  <c r="F66" i="1"/>
  <c r="E66" i="1"/>
  <c r="F57" i="1"/>
  <c r="F56" i="1"/>
  <c r="F55" i="1"/>
  <c r="E55" i="1"/>
  <c r="F54" i="1"/>
  <c r="E53" i="1"/>
  <c r="U52" i="1"/>
  <c r="F52" i="1"/>
  <c r="E52" i="1"/>
  <c r="U51" i="1"/>
  <c r="T51" i="1"/>
  <c r="F51" i="1"/>
  <c r="U50" i="1"/>
  <c r="T50" i="1"/>
  <c r="F50" i="1"/>
  <c r="U49" i="1"/>
  <c r="T49" i="1"/>
  <c r="F49" i="1"/>
  <c r="E49" i="1"/>
  <c r="U48" i="1"/>
  <c r="T48" i="1"/>
  <c r="F48" i="1"/>
  <c r="E48" i="1"/>
  <c r="F39" i="1"/>
  <c r="F38" i="1"/>
  <c r="U36" i="1"/>
  <c r="T36" i="1"/>
  <c r="E36" i="1"/>
  <c r="U35" i="1"/>
  <c r="T35" i="1"/>
  <c r="U34" i="1"/>
  <c r="T34" i="1"/>
  <c r="F34" i="1"/>
  <c r="E34" i="1"/>
  <c r="U33" i="1"/>
  <c r="T33" i="1"/>
  <c r="F33" i="1"/>
  <c r="U32" i="1"/>
  <c r="T32" i="1"/>
  <c r="F32" i="1"/>
  <c r="U31" i="1"/>
  <c r="T31" i="1"/>
  <c r="F31" i="1"/>
  <c r="E31" i="1"/>
  <c r="U30" i="1"/>
  <c r="T30" i="1"/>
  <c r="F30" i="1"/>
  <c r="E30" i="1"/>
  <c r="F19" i="1"/>
  <c r="E19" i="1"/>
  <c r="F18" i="1"/>
  <c r="E18" i="1"/>
  <c r="E17" i="1"/>
  <c r="F15" i="1"/>
  <c r="E15" i="1"/>
  <c r="E14" i="1"/>
  <c r="U13" i="1"/>
  <c r="T13" i="1"/>
  <c r="U12" i="1"/>
  <c r="T12" i="1"/>
  <c r="F12" i="1"/>
  <c r="E12" i="1"/>
  <c r="U11" i="1"/>
  <c r="T11" i="1"/>
  <c r="F11" i="1"/>
  <c r="U10" i="1"/>
  <c r="T10" i="1"/>
  <c r="U9" i="1"/>
  <c r="T9" i="1"/>
  <c r="U8" i="1"/>
  <c r="T8" i="1"/>
  <c r="E8" i="1"/>
</calcChain>
</file>

<file path=xl/sharedStrings.xml><?xml version="1.0" encoding="utf-8"?>
<sst xmlns="http://schemas.openxmlformats.org/spreadsheetml/2006/main" count="681" uniqueCount="64">
  <si>
    <t>Mueble:</t>
  </si>
  <si>
    <t>Cajonera 2 cajones</t>
  </si>
  <si>
    <t>Blanco Frosty</t>
  </si>
  <si>
    <t>Ancho(mm):</t>
  </si>
  <si>
    <t>Profundidad(mm):</t>
  </si>
  <si>
    <t>Alto(mm):</t>
  </si>
  <si>
    <t>Pieza Sobrada:</t>
  </si>
  <si>
    <t>No</t>
  </si>
  <si>
    <t>Proyecto:</t>
  </si>
  <si>
    <t>Material</t>
  </si>
  <si>
    <t>Grosor de tablero</t>
  </si>
  <si>
    <t>Beta</t>
  </si>
  <si>
    <t>Largo</t>
  </si>
  <si>
    <t>Ancho</t>
  </si>
  <si>
    <t>Cantidad</t>
  </si>
  <si>
    <t>Referencia de corte</t>
  </si>
  <si>
    <t>Cliente</t>
  </si>
  <si>
    <t>Compañía</t>
  </si>
  <si>
    <t>Color enchape</t>
  </si>
  <si>
    <t>blanco frosty</t>
  </si>
  <si>
    <t>costados</t>
  </si>
  <si>
    <t>Gerardo</t>
  </si>
  <si>
    <t>covah</t>
  </si>
  <si>
    <t>piso</t>
  </si>
  <si>
    <t>frentes cajón</t>
  </si>
  <si>
    <t>Cajonera 3 cajones</t>
  </si>
  <si>
    <t>Variables</t>
  </si>
  <si>
    <t>mm</t>
  </si>
  <si>
    <t>Profundidad</t>
  </si>
  <si>
    <t>Alto</t>
  </si>
  <si>
    <t>Lado largo1 (A favor de la beta)</t>
  </si>
  <si>
    <t>Lado Largo 2 (a favor de la beta)</t>
  </si>
  <si>
    <t>Lado Ancho 1</t>
  </si>
  <si>
    <t>Lado ancho 2</t>
  </si>
  <si>
    <t>color</t>
  </si>
  <si>
    <t>techo</t>
  </si>
  <si>
    <t>fondo</t>
  </si>
  <si>
    <t>fondo cajon</t>
  </si>
  <si>
    <t>entrepaño</t>
  </si>
  <si>
    <t>laterales cajon</t>
  </si>
  <si>
    <t>puerta</t>
  </si>
  <si>
    <t>frontal cajon</t>
  </si>
  <si>
    <t>fondo cajon int</t>
  </si>
  <si>
    <t>laterales cajon int</t>
  </si>
  <si>
    <t>frontal cajon int</t>
  </si>
  <si>
    <t>frente cajón int</t>
  </si>
  <si>
    <t>costado esquinero</t>
  </si>
  <si>
    <t>gola</t>
  </si>
  <si>
    <t>Especiero</t>
  </si>
  <si>
    <t>Gabinete refri/entrepañera/nicho/campana/micro</t>
  </si>
  <si>
    <t>techo y piso</t>
  </si>
  <si>
    <t>frente</t>
  </si>
  <si>
    <t>Basurero</t>
  </si>
  <si>
    <t>Gabinete c/entrepaño</t>
  </si>
  <si>
    <t>Ancho corto</t>
  </si>
  <si>
    <t>Ancho largo</t>
  </si>
  <si>
    <t>Cajonera 4 cajones</t>
  </si>
  <si>
    <t>Nogal Neo</t>
  </si>
  <si>
    <t>Gabinete</t>
  </si>
  <si>
    <t>✅ Gabinete agregado!</t>
  </si>
  <si>
    <t>Material Estructura:</t>
  </si>
  <si>
    <t>Material Frente/Puerta:</t>
  </si>
  <si>
    <t>Cant.Entrepaños</t>
  </si>
  <si>
    <t>TestNuevoCambios2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</si>
</sst>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name val="Arial"/>
    </font>
    <font>
      <sz val="11"/>
      <color rgb="FF000000"/>
      <name val="&quot;Aptos Narrow&quot;"/>
    </font>
    <font>
      <sz val="11"/>
      <color rgb="FF000000"/>
      <name val="Arial"/>
    </font>
    <font>
      <sz val="10"/>
      <color rgb="FF000000"/>
      <name val="Arial"/>
    </font>
    <font>
      <sz val="11"/>
      <color theme="1"/>
      <name val="Arial"/>
      <scheme val="minor"/>
    </font>
    <font>
      <b/>
      <sz val="11"/>
      <color rgb="FF000000"/>
      <name val="Arial"/>
      <family val="2"/>
      <scheme val="minor"/>
    </font>
    <font>
      <sz val="10"/>
      <color rgb="FF0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9900"/>
        <bgColor rgb="FFFF99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FFC8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3" fillId="2" borderId="3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horizontal="center" wrapText="1"/>
    </xf>
    <xf numFmtId="0" fontId="5" fillId="0" borderId="4" xfId="0" applyFont="1" applyBorder="1"/>
    <xf numFmtId="0" fontId="4" fillId="0" borderId="0" xfId="0" applyFont="1" applyAlignment="1">
      <alignment horizontal="right"/>
    </xf>
    <xf numFmtId="0" fontId="3" fillId="0" borderId="0" xfId="0" applyFont="1"/>
    <xf numFmtId="0" fontId="5" fillId="0" borderId="9" xfId="0" applyFont="1" applyBorder="1"/>
    <xf numFmtId="0" fontId="5" fillId="0" borderId="1" xfId="0" applyFont="1" applyBorder="1"/>
    <xf numFmtId="0" fontId="3" fillId="0" borderId="10" xfId="0" applyFont="1" applyBorder="1" applyAlignment="1">
      <alignment horizontal="right"/>
    </xf>
    <xf numFmtId="0" fontId="5" fillId="0" borderId="10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3" fillId="0" borderId="10" xfId="0" applyFont="1" applyBorder="1"/>
    <xf numFmtId="0" fontId="5" fillId="0" borderId="2" xfId="0" applyFont="1" applyBorder="1"/>
    <xf numFmtId="0" fontId="1" fillId="0" borderId="0" xfId="0" applyFont="1"/>
    <xf numFmtId="0" fontId="6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5" fillId="3" borderId="4" xfId="0" applyFont="1" applyFill="1" applyBorder="1"/>
    <xf numFmtId="0" fontId="4" fillId="3" borderId="0" xfId="0" applyFont="1" applyFill="1" applyAlignment="1">
      <alignment horizontal="right"/>
    </xf>
    <xf numFmtId="0" fontId="1" fillId="3" borderId="0" xfId="0" applyFont="1" applyFill="1"/>
    <xf numFmtId="0" fontId="6" fillId="3" borderId="0" xfId="0" applyFont="1" applyFill="1" applyAlignment="1">
      <alignment horizontal="right"/>
    </xf>
    <xf numFmtId="0" fontId="3" fillId="3" borderId="0" xfId="0" applyFont="1" applyFill="1"/>
    <xf numFmtId="0" fontId="5" fillId="3" borderId="9" xfId="0" applyFont="1" applyFill="1" applyBorder="1"/>
    <xf numFmtId="0" fontId="5" fillId="3" borderId="6" xfId="0" applyFont="1" applyFill="1" applyBorder="1"/>
    <xf numFmtId="0" fontId="3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6" fillId="3" borderId="11" xfId="0" applyFont="1" applyFill="1" applyBorder="1" applyAlignment="1">
      <alignment horizontal="right"/>
    </xf>
    <xf numFmtId="0" fontId="3" fillId="3" borderId="11" xfId="0" applyFont="1" applyFill="1" applyBorder="1"/>
    <xf numFmtId="0" fontId="5" fillId="3" borderId="12" xfId="0" applyFont="1" applyFill="1" applyBorder="1"/>
    <xf numFmtId="0" fontId="5" fillId="0" borderId="0" xfId="0" applyFont="1"/>
    <xf numFmtId="0" fontId="3" fillId="3" borderId="0" xfId="0" applyFont="1" applyFill="1" applyAlignment="1">
      <alignment horizontal="right"/>
    </xf>
    <xf numFmtId="0" fontId="5" fillId="0" borderId="6" xfId="0" applyFont="1" applyBorder="1"/>
    <xf numFmtId="0" fontId="3" fillId="0" borderId="11" xfId="0" applyFont="1" applyBorder="1" applyAlignment="1">
      <alignment horizontal="right"/>
    </xf>
    <xf numFmtId="0" fontId="1" fillId="0" borderId="11" xfId="0" applyFont="1" applyBorder="1"/>
    <xf numFmtId="0" fontId="1" fillId="0" borderId="11" xfId="0" applyFont="1" applyBorder="1" applyAlignment="1">
      <alignment horizontal="right"/>
    </xf>
    <xf numFmtId="0" fontId="3" fillId="0" borderId="11" xfId="0" applyFont="1" applyBorder="1"/>
    <xf numFmtId="0" fontId="5" fillId="0" borderId="12" xfId="0" applyFont="1" applyBorder="1"/>
    <xf numFmtId="1" fontId="1" fillId="0" borderId="0" xfId="0" applyNumberFormat="1" applyFont="1"/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0" fillId="4" borderId="13" xfId="0" applyFill="1" applyBorder="1"/>
    <xf numFmtId="0" fontId="0" fillId="4" borderId="15" xfId="0" applyFill="1" applyBorder="1"/>
    <xf numFmtId="0" fontId="0" fillId="4" borderId="14" xfId="0" applyFill="1" applyBorder="1"/>
    <xf numFmtId="0" fontId="8" fillId="4" borderId="13" xfId="0" applyFont="1" applyFill="1" applyBorder="1"/>
    <xf numFmtId="0" fontId="8" fillId="5" borderId="0" xfId="0" applyFont="1" applyFill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1" fillId="0" borderId="0" xfId="0" applyFont="1" applyAlignment="1">
      <alignment horizontal="center"/>
    </xf>
    <xf numFmtId="0" fontId="0" fillId="0" borderId="0" xfId="0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1303020</xdr:colOff>
      <xdr:row>15</xdr:row>
      <xdr:rowOff>38100</xdr:rowOff>
    </xdr:from>
    <xdr:to>
      <xdr:col>3</xdr:col>
      <xdr:colOff>7620</xdr:colOff>
      <xdr:row>18</xdr:row>
      <xdr:rowOff>53340</xdr:rowOff>
    </xdr:to>
    <xdr:sp macro="[0]!EjecutarCalcul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0E356C1-DB3F-7BF8-4399-863A7727D161}"/>
            </a:ext>
          </a:extLst>
        </xdr:cNvPr>
        <xdr:cNvSpPr/>
      </xdr:nvSpPr>
      <xdr:spPr>
        <a:xfrm>
          <a:off x="1912620" y="2613660"/>
          <a:ext cx="1226820" cy="5181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Calcular Despieces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49B4-7CE1-4CE8-A67B-4EC020D57761}">
  <sheetPr codeName="Sheet1"/>
  <dimension ref="B4:E15"/>
  <sheetViews>
    <sheetView tabSelected="1" workbookViewId="0">
      <selection activeCell="L3" sqref="L3"/>
    </sheetView>
  </sheetViews>
  <sheetFormatPr baseColWidth="10" defaultColWidth="9.140625" defaultRowHeight="12.75"/>
  <cols>
    <col min="1" max="1" width="10.140625" customWidth="1"/>
    <col min="2" max="2" width="25.85546875" customWidth="1"/>
    <col min="3" max="3" width="17.28515625" customWidth="1"/>
    <col min="4" max="4" width="12.5703125" customWidth="1"/>
  </cols>
  <sheetData>
    <row r="4" spans="2:5" ht="15">
      <c r="B4" s="47" t="s">
        <v>0</v>
      </c>
      <c r="C4" s="48" t="s">
        <v>58</v>
      </c>
    </row>
    <row r="5" spans="2:5" ht="15">
      <c r="B5" s="47"/>
    </row>
    <row r="6" spans="2:5" ht="15">
      <c r="B6" s="47" t="s">
        <v>60</v>
      </c>
      <c r="C6" s="48" t="s">
        <v>2</v>
      </c>
    </row>
    <row r="7" spans="2:5" ht="15">
      <c r="B7" s="47" t="s">
        <v>61</v>
      </c>
      <c r="C7" s="48" t="s">
        <v>57</v>
      </c>
    </row>
    <row r="8" spans="2:5" ht="15">
      <c r="B8" s="47" t="s">
        <v>3</v>
      </c>
      <c r="C8" s="48">
        <v>500</v>
      </c>
    </row>
    <row r="9" spans="2:5" ht="15">
      <c r="B9" s="47" t="s">
        <v>4</v>
      </c>
      <c r="C9" s="49">
        <v>285</v>
      </c>
    </row>
    <row r="10" spans="2:5" ht="15">
      <c r="B10" s="47" t="s">
        <v>5</v>
      </c>
      <c r="C10" s="50">
        <v>750</v>
      </c>
    </row>
    <row r="11" spans="2:5" ht="15">
      <c r="B11" s="47" t="s">
        <v>62</v>
      </c>
      <c r="C11" s="49">
        <v>2</v>
      </c>
    </row>
    <row r="12" spans="2:5" ht="15">
      <c r="B12" s="47" t="s">
        <v>6</v>
      </c>
      <c r="C12" s="50" t="s">
        <v>7</v>
      </c>
    </row>
    <row r="14" spans="2:5" ht="15">
      <c r="B14" s="47" t="s">
        <v>8</v>
      </c>
      <c r="C14" s="51" t="s">
        <v>63</v>
      </c>
    </row>
    <row r="15" spans="2:5">
      <c r="E15" s="52" t="s">
        <v>59</v>
      </c>
    </row>
  </sheetData>
  <dataValidations count="3">
    <dataValidation type="list" allowBlank="1" showInputMessage="1" sqref="C6" xr:uid="{F4BCD67D-11DB-4E46-9821-9F0A32C4EF80}">
      <formula1>"Blanco Frosty, Vison, Nogal Neo, Roble Santana, Parota"</formula1>
    </dataValidation>
    <dataValidation type="list" allowBlank="1" showInputMessage="1" sqref="C4" xr:uid="{E26905D8-4709-4F4E-8156-6C6C8BC844F8}">
      <formula1>"Cajonera 2 cajones,Cajonera 3 cajones,Gabinete,Tarja,Corte Personalizado"</formula1>
    </dataValidation>
    <dataValidation type="list" allowBlank="1" showInputMessage="1" showErrorMessage="1" sqref="C12" xr:uid="{E67FB655-DD74-422F-8455-50A9D2CC4118}">
      <formula1>"Si, 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B1:AD134"/>
  <sheetViews>
    <sheetView zoomScaleNormal="100" workbookViewId="0">
      <selection activeCell="L3" sqref="L3"/>
    </sheetView>
  </sheetViews>
  <sheetFormatPr baseColWidth="10" defaultColWidth="12.5703125" defaultRowHeight="15.75" customHeight="1"/>
  <cols>
    <col min="3" max="3" width="17.28515625" customWidth="1"/>
    <col min="8" max="8" width="19.7109375" customWidth="1"/>
    <col min="18" max="18" width="15.28515625" customWidth="1"/>
    <col min="23" max="23" width="17" customWidth="1"/>
  </cols>
  <sheetData>
    <row r="1" spans="2:30" ht="12.75">
      <c r="B1" s="53" t="s">
        <v>25</v>
      </c>
      <c r="C1" s="54"/>
      <c r="Q1" s="53"/>
      <c r="R1" s="54"/>
    </row>
    <row r="2" spans="2:30" ht="12.75">
      <c r="B2" s="1" t="s">
        <v>26</v>
      </c>
      <c r="C2" s="1" t="s">
        <v>27</v>
      </c>
      <c r="Q2" s="1" t="s">
        <v>26</v>
      </c>
      <c r="R2" s="1" t="s">
        <v>27</v>
      </c>
    </row>
    <row r="3" spans="2:30" ht="12.75">
      <c r="B3" s="2" t="s">
        <v>13</v>
      </c>
      <c r="C3" s="3">
        <v>800</v>
      </c>
      <c r="Q3" s="2" t="s">
        <v>13</v>
      </c>
      <c r="R3" s="3">
        <v>180</v>
      </c>
    </row>
    <row r="4" spans="2:30" ht="12.75">
      <c r="B4" s="2" t="s">
        <v>28</v>
      </c>
      <c r="C4" s="3">
        <v>585</v>
      </c>
      <c r="Q4" s="2" t="s">
        <v>28</v>
      </c>
      <c r="R4" s="3">
        <v>285</v>
      </c>
    </row>
    <row r="5" spans="2:30" ht="12.75">
      <c r="B5" s="4" t="s">
        <v>29</v>
      </c>
      <c r="C5" s="5">
        <v>710</v>
      </c>
      <c r="Q5" s="4" t="s">
        <v>29</v>
      </c>
      <c r="R5" s="5">
        <v>900</v>
      </c>
    </row>
    <row r="6" spans="2:30" ht="12" customHeight="1"/>
    <row r="7" spans="2:30" ht="43.15" customHeight="1">
      <c r="B7" s="6" t="s">
        <v>9</v>
      </c>
      <c r="C7" s="7" t="s">
        <v>10</v>
      </c>
      <c r="D7" s="7" t="s">
        <v>11</v>
      </c>
      <c r="E7" s="8" t="s">
        <v>12</v>
      </c>
      <c r="F7" s="8" t="s">
        <v>13</v>
      </c>
      <c r="G7" s="8" t="s">
        <v>14</v>
      </c>
      <c r="H7" s="8" t="s">
        <v>15</v>
      </c>
      <c r="I7" s="7" t="s">
        <v>16</v>
      </c>
      <c r="J7" s="7" t="s">
        <v>17</v>
      </c>
      <c r="K7" s="9" t="s">
        <v>30</v>
      </c>
      <c r="L7" s="9" t="s">
        <v>31</v>
      </c>
      <c r="M7" s="9" t="s">
        <v>32</v>
      </c>
      <c r="N7" s="9" t="s">
        <v>33</v>
      </c>
      <c r="O7" s="10" t="s">
        <v>18</v>
      </c>
      <c r="Q7" s="6" t="s">
        <v>9</v>
      </c>
      <c r="R7" s="7" t="s">
        <v>10</v>
      </c>
      <c r="S7" s="7" t="s">
        <v>11</v>
      </c>
      <c r="T7" s="8" t="s">
        <v>12</v>
      </c>
      <c r="U7" s="8" t="s">
        <v>13</v>
      </c>
      <c r="V7" s="8" t="s">
        <v>14</v>
      </c>
      <c r="W7" s="8" t="s">
        <v>15</v>
      </c>
      <c r="X7" s="7" t="s">
        <v>16</v>
      </c>
      <c r="Y7" s="7" t="s">
        <v>17</v>
      </c>
      <c r="Z7" s="9" t="s">
        <v>30</v>
      </c>
      <c r="AA7" s="9" t="s">
        <v>31</v>
      </c>
      <c r="AB7" s="9" t="s">
        <v>32</v>
      </c>
      <c r="AC7" s="9" t="s">
        <v>33</v>
      </c>
      <c r="AD7" s="10" t="s">
        <v>18</v>
      </c>
    </row>
    <row r="8" spans="2:30" ht="14.25">
      <c r="B8" s="11" t="s">
        <v>19</v>
      </c>
      <c r="C8" s="46">
        <v>15</v>
      </c>
      <c r="D8" s="46">
        <v>1</v>
      </c>
      <c r="E8" s="45">
        <f>C5</f>
        <v>710</v>
      </c>
      <c r="F8" s="45">
        <f>C4</f>
        <v>585</v>
      </c>
      <c r="G8" s="46">
        <v>2</v>
      </c>
      <c r="H8" s="12" t="s">
        <v>20</v>
      </c>
      <c r="I8" s="13" t="s">
        <v>21</v>
      </c>
      <c r="J8" s="13" t="s">
        <v>22</v>
      </c>
      <c r="K8" s="46">
        <v>1</v>
      </c>
      <c r="L8" s="46"/>
      <c r="M8" s="46"/>
      <c r="N8" s="46"/>
      <c r="O8" s="14" t="s">
        <v>34</v>
      </c>
      <c r="Q8" s="15" t="s">
        <v>19</v>
      </c>
      <c r="R8" s="16">
        <v>15</v>
      </c>
      <c r="S8" s="16">
        <v>1</v>
      </c>
      <c r="T8" s="17">
        <f>R5</f>
        <v>900</v>
      </c>
      <c r="U8" s="17">
        <f>R4</f>
        <v>285</v>
      </c>
      <c r="V8" s="16">
        <v>2</v>
      </c>
      <c r="W8" s="18" t="s">
        <v>20</v>
      </c>
      <c r="X8" s="19" t="s">
        <v>21</v>
      </c>
      <c r="Y8" s="19" t="s">
        <v>22</v>
      </c>
      <c r="Z8" s="16">
        <v>1</v>
      </c>
      <c r="AA8" s="16"/>
      <c r="AB8" s="18">
        <v>1</v>
      </c>
      <c r="AC8" s="16"/>
      <c r="AD8" s="20" t="s">
        <v>34</v>
      </c>
    </row>
    <row r="9" spans="2:30" ht="14.25">
      <c r="B9" s="11" t="s">
        <v>19</v>
      </c>
      <c r="C9" s="46">
        <v>15</v>
      </c>
      <c r="D9" s="46">
        <v>1</v>
      </c>
      <c r="E9" s="21">
        <f>C4</f>
        <v>585</v>
      </c>
      <c r="F9" s="21">
        <f>C3-(2*C9)</f>
        <v>770</v>
      </c>
      <c r="G9" s="21">
        <v>1</v>
      </c>
      <c r="H9" s="22" t="s">
        <v>23</v>
      </c>
      <c r="I9" s="13" t="s">
        <v>21</v>
      </c>
      <c r="J9" s="13" t="s">
        <v>22</v>
      </c>
      <c r="M9" s="21">
        <v>1</v>
      </c>
      <c r="O9" s="14" t="s">
        <v>34</v>
      </c>
      <c r="Q9" s="11" t="s">
        <v>19</v>
      </c>
      <c r="R9" s="46">
        <v>15</v>
      </c>
      <c r="S9" s="46">
        <v>1</v>
      </c>
      <c r="T9" s="21">
        <f>R4</f>
        <v>285</v>
      </c>
      <c r="U9" s="21">
        <f>R3-(2*R9)</f>
        <v>150</v>
      </c>
      <c r="V9" s="21">
        <v>1</v>
      </c>
      <c r="W9" s="22" t="s">
        <v>35</v>
      </c>
      <c r="X9" s="13" t="s">
        <v>21</v>
      </c>
      <c r="Y9" s="13" t="s">
        <v>22</v>
      </c>
      <c r="AB9" s="21">
        <v>1</v>
      </c>
      <c r="AD9" s="14" t="s">
        <v>34</v>
      </c>
    </row>
    <row r="10" spans="2:30" ht="14.25">
      <c r="B10" s="11" t="s">
        <v>19</v>
      </c>
      <c r="C10" s="46">
        <v>15</v>
      </c>
      <c r="D10" s="46">
        <v>1</v>
      </c>
      <c r="E10" s="21">
        <v>100</v>
      </c>
      <c r="F10" s="21">
        <f>C3-(2*C10)</f>
        <v>770</v>
      </c>
      <c r="G10" s="21">
        <v>2</v>
      </c>
      <c r="H10" s="22" t="s">
        <v>36</v>
      </c>
      <c r="I10" s="13" t="s">
        <v>21</v>
      </c>
      <c r="J10" s="13" t="s">
        <v>22</v>
      </c>
      <c r="M10" s="21">
        <v>1</v>
      </c>
      <c r="N10" s="21">
        <v>1</v>
      </c>
      <c r="O10" s="14" t="s">
        <v>19</v>
      </c>
      <c r="Q10" s="11" t="s">
        <v>19</v>
      </c>
      <c r="R10" s="46">
        <v>15</v>
      </c>
      <c r="S10" s="46">
        <v>1</v>
      </c>
      <c r="T10" s="21">
        <f>R5-R10</f>
        <v>885</v>
      </c>
      <c r="U10" s="21">
        <f>R3-(2*R10)</f>
        <v>150</v>
      </c>
      <c r="V10" s="21">
        <v>1</v>
      </c>
      <c r="W10" s="22" t="s">
        <v>36</v>
      </c>
      <c r="X10" s="13" t="s">
        <v>21</v>
      </c>
      <c r="Y10" s="13" t="s">
        <v>22</v>
      </c>
      <c r="AB10" s="21">
        <v>1</v>
      </c>
      <c r="AD10" s="14" t="s">
        <v>34</v>
      </c>
    </row>
    <row r="11" spans="2:30" ht="14.25">
      <c r="B11" s="11" t="s">
        <v>19</v>
      </c>
      <c r="C11" s="46">
        <v>15</v>
      </c>
      <c r="D11" s="46">
        <v>1</v>
      </c>
      <c r="E11" s="21">
        <v>100</v>
      </c>
      <c r="F11" s="21">
        <f>$C$3-(2*C11)</f>
        <v>770</v>
      </c>
      <c r="G11" s="21">
        <v>2</v>
      </c>
      <c r="H11" s="23" t="s">
        <v>35</v>
      </c>
      <c r="I11" s="13" t="s">
        <v>21</v>
      </c>
      <c r="J11" s="13" t="s">
        <v>22</v>
      </c>
      <c r="M11" s="21">
        <v>1</v>
      </c>
      <c r="N11" s="21">
        <v>1</v>
      </c>
      <c r="O11" s="14" t="s">
        <v>19</v>
      </c>
      <c r="Q11" s="11" t="s">
        <v>19</v>
      </c>
      <c r="R11" s="46">
        <v>15</v>
      </c>
      <c r="S11" s="46">
        <v>1</v>
      </c>
      <c r="T11" s="21">
        <f>R4-R11</f>
        <v>270</v>
      </c>
      <c r="U11" s="21">
        <f>R3-(2*R11)</f>
        <v>150</v>
      </c>
      <c r="V11" s="21">
        <v>1</v>
      </c>
      <c r="W11" s="23" t="s">
        <v>23</v>
      </c>
      <c r="X11" s="13" t="s">
        <v>21</v>
      </c>
      <c r="Y11" s="13" t="s">
        <v>22</v>
      </c>
      <c r="AB11" s="21">
        <v>1</v>
      </c>
      <c r="AD11" s="21" t="s">
        <v>34</v>
      </c>
    </row>
    <row r="12" spans="2:30" ht="14.25">
      <c r="B12" s="11" t="s">
        <v>19</v>
      </c>
      <c r="C12" s="46">
        <v>15</v>
      </c>
      <c r="D12" s="46">
        <v>1</v>
      </c>
      <c r="E12" s="21">
        <f>450-(2*C12)</f>
        <v>420</v>
      </c>
      <c r="F12" s="21">
        <f>C3-(4*C12)-26</f>
        <v>714</v>
      </c>
      <c r="G12" s="21">
        <v>2</v>
      </c>
      <c r="H12" s="22" t="s">
        <v>37</v>
      </c>
      <c r="I12" s="13" t="s">
        <v>21</v>
      </c>
      <c r="J12" s="13" t="s">
        <v>22</v>
      </c>
      <c r="O12" s="14"/>
      <c r="Q12" s="24" t="s">
        <v>19</v>
      </c>
      <c r="R12" s="25">
        <v>15</v>
      </c>
      <c r="S12" s="25">
        <v>1</v>
      </c>
      <c r="T12" s="26">
        <f>R4-R12</f>
        <v>270</v>
      </c>
      <c r="U12" s="26">
        <f>R3-(2*R12)</f>
        <v>150</v>
      </c>
      <c r="V12" s="26">
        <v>2</v>
      </c>
      <c r="W12" s="27" t="s">
        <v>38</v>
      </c>
      <c r="X12" s="28" t="s">
        <v>21</v>
      </c>
      <c r="Y12" s="28" t="s">
        <v>22</v>
      </c>
      <c r="Z12" s="26"/>
      <c r="AA12" s="26"/>
      <c r="AB12" s="26"/>
      <c r="AC12" s="26">
        <v>1</v>
      </c>
      <c r="AD12" s="29" t="s">
        <v>19</v>
      </c>
    </row>
    <row r="13" spans="2:30" ht="14.25">
      <c r="B13" s="11" t="s">
        <v>19</v>
      </c>
      <c r="C13" s="46">
        <v>15</v>
      </c>
      <c r="D13" s="46">
        <v>1</v>
      </c>
      <c r="E13" s="21">
        <v>450</v>
      </c>
      <c r="F13" s="21">
        <v>160</v>
      </c>
      <c r="G13" s="21">
        <v>4</v>
      </c>
      <c r="H13" s="22" t="s">
        <v>39</v>
      </c>
      <c r="I13" s="13" t="s">
        <v>21</v>
      </c>
      <c r="J13" s="13" t="s">
        <v>22</v>
      </c>
      <c r="K13" s="21">
        <v>1</v>
      </c>
      <c r="O13" s="14" t="s">
        <v>19</v>
      </c>
      <c r="Q13" s="30" t="s">
        <v>34</v>
      </c>
      <c r="R13" s="31">
        <v>15</v>
      </c>
      <c r="S13" s="31">
        <v>1</v>
      </c>
      <c r="T13" s="32">
        <f>R5-5</f>
        <v>895</v>
      </c>
      <c r="U13" s="32">
        <f>R3-5</f>
        <v>175</v>
      </c>
      <c r="V13" s="32">
        <v>1</v>
      </c>
      <c r="W13" s="33" t="s">
        <v>40</v>
      </c>
      <c r="X13" s="34" t="s">
        <v>21</v>
      </c>
      <c r="Y13" s="34" t="s">
        <v>22</v>
      </c>
      <c r="Z13" s="32">
        <v>1</v>
      </c>
      <c r="AA13" s="32">
        <v>1</v>
      </c>
      <c r="AB13" s="32">
        <v>1</v>
      </c>
      <c r="AC13" s="32">
        <v>1</v>
      </c>
      <c r="AD13" s="35" t="s">
        <v>34</v>
      </c>
    </row>
    <row r="14" spans="2:30" ht="14.25">
      <c r="B14" s="11" t="s">
        <v>19</v>
      </c>
      <c r="C14" s="46">
        <v>15</v>
      </c>
      <c r="D14" s="46">
        <v>1</v>
      </c>
      <c r="E14" s="21">
        <f>$C$3-(4*C14)-26</f>
        <v>714</v>
      </c>
      <c r="F14" s="21">
        <v>160</v>
      </c>
      <c r="G14" s="21">
        <v>4</v>
      </c>
      <c r="H14" s="22" t="s">
        <v>41</v>
      </c>
      <c r="I14" s="13" t="s">
        <v>21</v>
      </c>
      <c r="J14" s="13" t="s">
        <v>22</v>
      </c>
      <c r="K14" s="21">
        <v>1</v>
      </c>
      <c r="O14" s="14" t="s">
        <v>19</v>
      </c>
      <c r="Q14" s="36"/>
      <c r="R14" s="46"/>
      <c r="S14" s="46"/>
      <c r="W14" s="23"/>
      <c r="X14" s="13"/>
      <c r="Y14" s="13"/>
      <c r="AD14" s="36"/>
    </row>
    <row r="15" spans="2:30" ht="14.25">
      <c r="B15" s="11" t="s">
        <v>19</v>
      </c>
      <c r="C15" s="46">
        <v>15</v>
      </c>
      <c r="D15" s="46">
        <v>1</v>
      </c>
      <c r="E15" s="21">
        <f>450-(2*C15)</f>
        <v>420</v>
      </c>
      <c r="F15" s="21">
        <f>$C$3-(4*C15)-26</f>
        <v>714</v>
      </c>
      <c r="G15" s="21">
        <v>1</v>
      </c>
      <c r="H15" s="22" t="s">
        <v>42</v>
      </c>
      <c r="I15" s="13" t="s">
        <v>21</v>
      </c>
      <c r="J15" s="13" t="s">
        <v>22</v>
      </c>
      <c r="O15" s="14"/>
      <c r="Q15" s="36"/>
      <c r="R15" s="46"/>
      <c r="S15" s="46"/>
      <c r="T15" s="21"/>
      <c r="V15" s="21"/>
      <c r="W15" s="23"/>
      <c r="X15" s="13"/>
      <c r="Y15" s="13"/>
      <c r="AB15" s="21"/>
      <c r="AD15" s="36"/>
    </row>
    <row r="16" spans="2:30" ht="14.25">
      <c r="B16" s="11" t="s">
        <v>19</v>
      </c>
      <c r="C16" s="46">
        <v>15</v>
      </c>
      <c r="D16" s="46">
        <v>1</v>
      </c>
      <c r="E16" s="21">
        <v>450</v>
      </c>
      <c r="F16" s="21">
        <v>80</v>
      </c>
      <c r="G16" s="21">
        <v>2</v>
      </c>
      <c r="H16" s="22" t="s">
        <v>43</v>
      </c>
      <c r="I16" s="13" t="s">
        <v>21</v>
      </c>
      <c r="J16" s="13" t="s">
        <v>22</v>
      </c>
      <c r="K16" s="21">
        <v>1</v>
      </c>
      <c r="O16" s="14" t="s">
        <v>19</v>
      </c>
    </row>
    <row r="17" spans="2:30" ht="14.25">
      <c r="B17" s="11" t="s">
        <v>19</v>
      </c>
      <c r="C17" s="46">
        <v>15</v>
      </c>
      <c r="D17" s="46">
        <v>1</v>
      </c>
      <c r="E17" s="21">
        <f>$C$3-(4*C17)-26</f>
        <v>714</v>
      </c>
      <c r="F17" s="21">
        <v>80</v>
      </c>
      <c r="G17" s="21">
        <v>2</v>
      </c>
      <c r="H17" s="22" t="s">
        <v>44</v>
      </c>
      <c r="I17" s="13" t="s">
        <v>21</v>
      </c>
      <c r="J17" s="13" t="s">
        <v>22</v>
      </c>
      <c r="K17" s="21">
        <v>1</v>
      </c>
      <c r="O17" s="14" t="s">
        <v>19</v>
      </c>
      <c r="Q17" s="55"/>
      <c r="R17" s="56"/>
    </row>
    <row r="18" spans="2:30" ht="14.25">
      <c r="B18" s="24" t="s">
        <v>34</v>
      </c>
      <c r="C18" s="37">
        <v>15</v>
      </c>
      <c r="D18" s="37">
        <v>1</v>
      </c>
      <c r="E18" s="26">
        <f>(C5-70)/2</f>
        <v>320</v>
      </c>
      <c r="F18" s="26">
        <f>C3-4</f>
        <v>796</v>
      </c>
      <c r="G18" s="26">
        <v>2</v>
      </c>
      <c r="H18" s="27" t="s">
        <v>24</v>
      </c>
      <c r="I18" s="28" t="s">
        <v>21</v>
      </c>
      <c r="J18" s="28" t="s">
        <v>22</v>
      </c>
      <c r="K18" s="26">
        <v>1</v>
      </c>
      <c r="L18" s="26">
        <v>1</v>
      </c>
      <c r="M18" s="26">
        <v>1</v>
      </c>
      <c r="N18" s="26">
        <v>1</v>
      </c>
      <c r="O18" s="29" t="s">
        <v>34</v>
      </c>
      <c r="Q18" s="21"/>
      <c r="R18" s="21"/>
    </row>
    <row r="19" spans="2:30" ht="14.25">
      <c r="B19" s="24" t="s">
        <v>34</v>
      </c>
      <c r="C19" s="37">
        <v>15</v>
      </c>
      <c r="D19" s="37">
        <v>1</v>
      </c>
      <c r="E19" s="26">
        <f>C5-620</f>
        <v>90</v>
      </c>
      <c r="F19" s="26">
        <f>C3-4-(2*C19)</f>
        <v>766</v>
      </c>
      <c r="G19" s="26">
        <v>1</v>
      </c>
      <c r="H19" s="27" t="s">
        <v>45</v>
      </c>
      <c r="I19" s="28" t="s">
        <v>21</v>
      </c>
      <c r="J19" s="28" t="s">
        <v>22</v>
      </c>
      <c r="K19" s="26">
        <v>1</v>
      </c>
      <c r="L19" s="26">
        <v>1</v>
      </c>
      <c r="M19" s="26">
        <v>1</v>
      </c>
      <c r="N19" s="26">
        <v>1</v>
      </c>
      <c r="O19" s="29" t="s">
        <v>34</v>
      </c>
      <c r="Q19" s="21"/>
      <c r="R19" s="21"/>
    </row>
    <row r="20" spans="2:30" ht="14.25">
      <c r="B20" s="11"/>
      <c r="C20" s="46"/>
      <c r="D20" s="46"/>
      <c r="E20" s="21"/>
      <c r="F20" s="21"/>
      <c r="G20" s="21"/>
      <c r="H20" s="23"/>
      <c r="I20" s="13" t="s">
        <v>21</v>
      </c>
      <c r="J20" s="13" t="s">
        <v>22</v>
      </c>
      <c r="O20" s="14" t="s">
        <v>34</v>
      </c>
      <c r="Q20" s="21"/>
      <c r="R20" s="21"/>
    </row>
    <row r="21" spans="2:30" ht="14.25">
      <c r="B21" s="38"/>
      <c r="C21" s="39"/>
      <c r="D21" s="39"/>
      <c r="E21" s="40"/>
      <c r="F21" s="40"/>
      <c r="G21" s="40"/>
      <c r="H21" s="41"/>
      <c r="I21" s="42" t="s">
        <v>21</v>
      </c>
      <c r="J21" s="42" t="s">
        <v>22</v>
      </c>
      <c r="K21" s="40"/>
      <c r="L21" s="40"/>
      <c r="M21" s="40">
        <v>1</v>
      </c>
      <c r="N21" s="40"/>
      <c r="O21" s="43" t="s">
        <v>34</v>
      </c>
      <c r="Q21" s="21"/>
      <c r="R21" s="21"/>
    </row>
    <row r="23" spans="2:30" ht="12.75">
      <c r="B23" s="53" t="s">
        <v>1</v>
      </c>
      <c r="C23" s="54"/>
      <c r="Q23" s="53"/>
      <c r="R23" s="54"/>
    </row>
    <row r="24" spans="2:30" ht="12.75">
      <c r="B24" s="1" t="s">
        <v>26</v>
      </c>
      <c r="C24" s="1" t="s">
        <v>27</v>
      </c>
      <c r="Q24" s="1" t="s">
        <v>26</v>
      </c>
      <c r="R24" s="1" t="s">
        <v>27</v>
      </c>
    </row>
    <row r="25" spans="2:30" ht="12.75">
      <c r="B25" s="2" t="s">
        <v>13</v>
      </c>
      <c r="C25" s="3">
        <v>600</v>
      </c>
      <c r="Q25" s="2" t="s">
        <v>13</v>
      </c>
      <c r="R25" s="3">
        <v>600</v>
      </c>
    </row>
    <row r="26" spans="2:30" ht="12.75">
      <c r="B26" s="2" t="s">
        <v>28</v>
      </c>
      <c r="C26" s="3">
        <v>585</v>
      </c>
      <c r="Q26" s="2" t="s">
        <v>28</v>
      </c>
      <c r="R26" s="3">
        <v>285</v>
      </c>
    </row>
    <row r="27" spans="2:30" ht="12.75">
      <c r="B27" s="4" t="s">
        <v>29</v>
      </c>
      <c r="C27" s="5">
        <v>710</v>
      </c>
      <c r="Q27" s="4" t="s">
        <v>29</v>
      </c>
      <c r="R27" s="5">
        <v>800</v>
      </c>
    </row>
    <row r="29" spans="2:30" ht="42.75">
      <c r="B29" s="6" t="s">
        <v>9</v>
      </c>
      <c r="C29" s="7" t="s">
        <v>10</v>
      </c>
      <c r="D29" s="7" t="s">
        <v>11</v>
      </c>
      <c r="E29" s="8" t="s">
        <v>12</v>
      </c>
      <c r="F29" s="8" t="s">
        <v>13</v>
      </c>
      <c r="G29" s="8" t="s">
        <v>14</v>
      </c>
      <c r="H29" s="8" t="s">
        <v>15</v>
      </c>
      <c r="I29" s="7" t="s">
        <v>16</v>
      </c>
      <c r="J29" s="7" t="s">
        <v>17</v>
      </c>
      <c r="K29" s="9" t="s">
        <v>30</v>
      </c>
      <c r="L29" s="9" t="s">
        <v>31</v>
      </c>
      <c r="M29" s="9" t="s">
        <v>32</v>
      </c>
      <c r="N29" s="9" t="s">
        <v>33</v>
      </c>
      <c r="O29" s="10" t="s">
        <v>18</v>
      </c>
      <c r="Q29" s="6" t="s">
        <v>9</v>
      </c>
      <c r="R29" s="7" t="s">
        <v>10</v>
      </c>
      <c r="S29" s="7" t="s">
        <v>11</v>
      </c>
      <c r="T29" s="8" t="s">
        <v>12</v>
      </c>
      <c r="U29" s="8" t="s">
        <v>13</v>
      </c>
      <c r="V29" s="8" t="s">
        <v>14</v>
      </c>
      <c r="W29" s="8" t="s">
        <v>15</v>
      </c>
      <c r="X29" s="7" t="s">
        <v>16</v>
      </c>
      <c r="Y29" s="7" t="s">
        <v>17</v>
      </c>
      <c r="Z29" s="9" t="s">
        <v>30</v>
      </c>
      <c r="AA29" s="9" t="s">
        <v>31</v>
      </c>
      <c r="AB29" s="9" t="s">
        <v>32</v>
      </c>
      <c r="AC29" s="9" t="s">
        <v>33</v>
      </c>
      <c r="AD29" s="10" t="s">
        <v>18</v>
      </c>
    </row>
    <row r="30" spans="2:30" ht="14.25">
      <c r="B30" s="11" t="s">
        <v>19</v>
      </c>
      <c r="C30" s="46">
        <v>15</v>
      </c>
      <c r="D30" s="46">
        <v>1</v>
      </c>
      <c r="E30" s="45">
        <f>C27</f>
        <v>710</v>
      </c>
      <c r="F30" s="45">
        <f>C26</f>
        <v>585</v>
      </c>
      <c r="G30" s="46">
        <v>2</v>
      </c>
      <c r="H30" s="12" t="s">
        <v>20</v>
      </c>
      <c r="I30" s="13" t="s">
        <v>21</v>
      </c>
      <c r="J30" s="13" t="s">
        <v>22</v>
      </c>
      <c r="K30" s="46">
        <v>1</v>
      </c>
      <c r="L30" s="46"/>
      <c r="M30" s="46"/>
      <c r="N30" s="46"/>
      <c r="O30" s="14" t="s">
        <v>34</v>
      </c>
      <c r="Q30" s="15" t="s">
        <v>19</v>
      </c>
      <c r="R30" s="16">
        <v>15</v>
      </c>
      <c r="S30" s="16">
        <v>1</v>
      </c>
      <c r="T30" s="17">
        <f>R27</f>
        <v>800</v>
      </c>
      <c r="U30" s="17">
        <f>R26</f>
        <v>285</v>
      </c>
      <c r="V30" s="16">
        <v>2</v>
      </c>
      <c r="W30" s="18" t="s">
        <v>20</v>
      </c>
      <c r="X30" s="19" t="s">
        <v>21</v>
      </c>
      <c r="Y30" s="19" t="s">
        <v>22</v>
      </c>
      <c r="Z30" s="16">
        <v>1</v>
      </c>
      <c r="AA30" s="16"/>
      <c r="AB30" s="18">
        <v>1</v>
      </c>
      <c r="AC30" s="16"/>
      <c r="AD30" s="20" t="s">
        <v>34</v>
      </c>
    </row>
    <row r="31" spans="2:30" ht="14.25">
      <c r="B31" s="11" t="s">
        <v>19</v>
      </c>
      <c r="C31" s="46">
        <v>15</v>
      </c>
      <c r="D31" s="46">
        <v>1</v>
      </c>
      <c r="E31" s="21">
        <f>C26</f>
        <v>585</v>
      </c>
      <c r="F31" s="21">
        <f>C25-(2*C31)</f>
        <v>570</v>
      </c>
      <c r="G31" s="21">
        <v>1</v>
      </c>
      <c r="H31" s="22" t="s">
        <v>23</v>
      </c>
      <c r="I31" s="13" t="s">
        <v>21</v>
      </c>
      <c r="J31" s="13" t="s">
        <v>22</v>
      </c>
      <c r="M31" s="21">
        <v>1</v>
      </c>
      <c r="O31" s="14" t="s">
        <v>34</v>
      </c>
      <c r="Q31" s="11" t="s">
        <v>19</v>
      </c>
      <c r="R31" s="46">
        <v>15</v>
      </c>
      <c r="S31" s="46">
        <v>1</v>
      </c>
      <c r="T31" s="21">
        <f>R26</f>
        <v>285</v>
      </c>
      <c r="U31" s="21">
        <f>R25-(2*R31)</f>
        <v>570</v>
      </c>
      <c r="V31" s="21">
        <v>1</v>
      </c>
      <c r="W31" s="22" t="s">
        <v>35</v>
      </c>
      <c r="X31" s="13" t="s">
        <v>21</v>
      </c>
      <c r="Y31" s="13" t="s">
        <v>22</v>
      </c>
      <c r="AB31" s="21">
        <v>1</v>
      </c>
      <c r="AD31" s="14" t="s">
        <v>34</v>
      </c>
    </row>
    <row r="32" spans="2:30" ht="14.25">
      <c r="B32" s="11" t="s">
        <v>19</v>
      </c>
      <c r="C32" s="46">
        <v>15</v>
      </c>
      <c r="D32" s="46">
        <v>1</v>
      </c>
      <c r="E32" s="21">
        <v>100</v>
      </c>
      <c r="F32" s="21">
        <f>C25-(2*C32)</f>
        <v>570</v>
      </c>
      <c r="G32" s="21">
        <v>2</v>
      </c>
      <c r="H32" s="22" t="s">
        <v>36</v>
      </c>
      <c r="I32" s="13" t="s">
        <v>21</v>
      </c>
      <c r="J32" s="13" t="s">
        <v>22</v>
      </c>
      <c r="M32" s="21">
        <v>1</v>
      </c>
      <c r="N32" s="21">
        <v>1</v>
      </c>
      <c r="O32" s="14" t="s">
        <v>19</v>
      </c>
      <c r="Q32" s="11" t="s">
        <v>19</v>
      </c>
      <c r="R32" s="46">
        <v>15</v>
      </c>
      <c r="S32" s="46">
        <v>1</v>
      </c>
      <c r="T32" s="21">
        <f>R27-(1*R32)</f>
        <v>785</v>
      </c>
      <c r="U32" s="21">
        <f>R25-(2*R32)</f>
        <v>570</v>
      </c>
      <c r="V32" s="21">
        <v>1</v>
      </c>
      <c r="W32" s="22" t="s">
        <v>36</v>
      </c>
      <c r="X32" s="13" t="s">
        <v>21</v>
      </c>
      <c r="Y32" s="13" t="s">
        <v>22</v>
      </c>
      <c r="AB32" s="21">
        <v>1</v>
      </c>
      <c r="AD32" s="14" t="s">
        <v>34</v>
      </c>
    </row>
    <row r="33" spans="2:30" ht="14.25">
      <c r="B33" s="11" t="s">
        <v>19</v>
      </c>
      <c r="C33" s="46">
        <v>15</v>
      </c>
      <c r="D33" s="46">
        <v>1</v>
      </c>
      <c r="E33" s="21">
        <v>100</v>
      </c>
      <c r="F33" s="21">
        <f>C25-(2*C33)</f>
        <v>570</v>
      </c>
      <c r="G33" s="21">
        <v>2</v>
      </c>
      <c r="H33" s="23" t="s">
        <v>35</v>
      </c>
      <c r="I33" s="13" t="s">
        <v>21</v>
      </c>
      <c r="J33" s="13" t="s">
        <v>22</v>
      </c>
      <c r="M33" s="21">
        <v>1</v>
      </c>
      <c r="N33" s="21">
        <v>1</v>
      </c>
      <c r="O33" s="14" t="s">
        <v>19</v>
      </c>
      <c r="Q33" s="11" t="s">
        <v>19</v>
      </c>
      <c r="R33" s="46">
        <v>15</v>
      </c>
      <c r="S33" s="46">
        <v>1</v>
      </c>
      <c r="T33" s="21">
        <f>R27</f>
        <v>800</v>
      </c>
      <c r="U33" s="21">
        <f>R26+25</f>
        <v>310</v>
      </c>
      <c r="V33" s="21">
        <v>1</v>
      </c>
      <c r="W33" s="22" t="s">
        <v>46</v>
      </c>
      <c r="X33" s="13" t="s">
        <v>21</v>
      </c>
      <c r="Y33" s="13" t="s">
        <v>22</v>
      </c>
      <c r="Z33" s="21">
        <v>1</v>
      </c>
      <c r="AB33" s="21">
        <v>1</v>
      </c>
      <c r="AD33" s="21" t="s">
        <v>34</v>
      </c>
    </row>
    <row r="34" spans="2:30" ht="14.25">
      <c r="B34" s="11" t="s">
        <v>19</v>
      </c>
      <c r="C34" s="46">
        <v>15</v>
      </c>
      <c r="D34" s="46">
        <v>1</v>
      </c>
      <c r="E34" s="21">
        <f>450-(2*C34)</f>
        <v>420</v>
      </c>
      <c r="F34" s="44">
        <f>C25-(4*C34)-26</f>
        <v>514</v>
      </c>
      <c r="G34" s="21">
        <v>2</v>
      </c>
      <c r="H34" s="22" t="s">
        <v>37</v>
      </c>
      <c r="I34" s="13" t="s">
        <v>21</v>
      </c>
      <c r="J34" s="13" t="s">
        <v>22</v>
      </c>
      <c r="O34" s="14"/>
      <c r="Q34" s="11" t="s">
        <v>19</v>
      </c>
      <c r="R34" s="46">
        <v>15</v>
      </c>
      <c r="S34" s="46">
        <v>1</v>
      </c>
      <c r="T34" s="21">
        <f>R26-R34</f>
        <v>270</v>
      </c>
      <c r="U34" s="21">
        <f>R25-(2*R34)</f>
        <v>570</v>
      </c>
      <c r="V34" s="21">
        <v>1</v>
      </c>
      <c r="W34" s="23" t="s">
        <v>23</v>
      </c>
      <c r="X34" s="13" t="s">
        <v>21</v>
      </c>
      <c r="Y34" s="13" t="s">
        <v>22</v>
      </c>
      <c r="AB34" s="21">
        <v>1</v>
      </c>
      <c r="AD34" s="21" t="s">
        <v>34</v>
      </c>
    </row>
    <row r="35" spans="2:30" ht="14.25">
      <c r="B35" s="11" t="s">
        <v>19</v>
      </c>
      <c r="C35" s="46">
        <v>15</v>
      </c>
      <c r="D35" s="46">
        <v>1</v>
      </c>
      <c r="E35" s="21">
        <v>450</v>
      </c>
      <c r="F35" s="21">
        <v>160</v>
      </c>
      <c r="G35" s="21">
        <v>4</v>
      </c>
      <c r="H35" s="22" t="s">
        <v>39</v>
      </c>
      <c r="I35" s="13" t="s">
        <v>21</v>
      </c>
      <c r="J35" s="13" t="s">
        <v>22</v>
      </c>
      <c r="K35" s="21">
        <v>1</v>
      </c>
      <c r="O35" s="14" t="s">
        <v>19</v>
      </c>
      <c r="Q35" s="24" t="s">
        <v>19</v>
      </c>
      <c r="R35" s="25">
        <v>15</v>
      </c>
      <c r="S35" s="25">
        <v>1</v>
      </c>
      <c r="T35" s="26">
        <f>R26-R35</f>
        <v>270</v>
      </c>
      <c r="U35" s="26">
        <f>R25-(2*R35)</f>
        <v>570</v>
      </c>
      <c r="V35" s="26">
        <v>2</v>
      </c>
      <c r="W35" s="27" t="s">
        <v>38</v>
      </c>
      <c r="X35" s="28" t="s">
        <v>21</v>
      </c>
      <c r="Y35" s="28" t="s">
        <v>22</v>
      </c>
      <c r="Z35" s="26"/>
      <c r="AA35" s="26"/>
      <c r="AB35" s="26"/>
      <c r="AC35" s="26">
        <v>1</v>
      </c>
      <c r="AD35" s="29" t="s">
        <v>19</v>
      </c>
    </row>
    <row r="36" spans="2:30" ht="14.25">
      <c r="B36" s="11" t="s">
        <v>19</v>
      </c>
      <c r="C36" s="46">
        <v>15</v>
      </c>
      <c r="D36" s="46">
        <v>1</v>
      </c>
      <c r="E36" s="21">
        <f>C25-(4*C36)-26</f>
        <v>514</v>
      </c>
      <c r="F36" s="21">
        <v>160</v>
      </c>
      <c r="G36" s="21">
        <v>4</v>
      </c>
      <c r="H36" s="22" t="s">
        <v>41</v>
      </c>
      <c r="I36" s="13" t="s">
        <v>21</v>
      </c>
      <c r="J36" s="13" t="s">
        <v>22</v>
      </c>
      <c r="K36" s="21">
        <v>1</v>
      </c>
      <c r="O36" s="14" t="s">
        <v>19</v>
      </c>
      <c r="Q36" s="30" t="s">
        <v>34</v>
      </c>
      <c r="R36" s="31">
        <v>15</v>
      </c>
      <c r="S36" s="31">
        <v>1</v>
      </c>
      <c r="T36" s="32">
        <f>R27-5</f>
        <v>795</v>
      </c>
      <c r="U36" s="32">
        <f>R25-R26-25-5</f>
        <v>285</v>
      </c>
      <c r="V36" s="32">
        <v>1</v>
      </c>
      <c r="W36" s="33" t="s">
        <v>40</v>
      </c>
      <c r="X36" s="34" t="s">
        <v>21</v>
      </c>
      <c r="Y36" s="34" t="s">
        <v>22</v>
      </c>
      <c r="Z36" s="32">
        <v>1</v>
      </c>
      <c r="AA36" s="32">
        <v>1</v>
      </c>
      <c r="AB36" s="32">
        <v>1</v>
      </c>
      <c r="AC36" s="32">
        <v>1</v>
      </c>
      <c r="AD36" s="35" t="s">
        <v>34</v>
      </c>
    </row>
    <row r="37" spans="2:30" ht="14.25">
      <c r="B37" s="24" t="s">
        <v>34</v>
      </c>
      <c r="C37" s="37">
        <v>15</v>
      </c>
      <c r="D37" s="37">
        <v>1</v>
      </c>
      <c r="E37" s="26">
        <f>(C27-70)/2</f>
        <v>320</v>
      </c>
      <c r="F37" s="26">
        <f>C25-5</f>
        <v>595</v>
      </c>
      <c r="G37" s="26">
        <v>2</v>
      </c>
      <c r="H37" s="27" t="s">
        <v>24</v>
      </c>
      <c r="I37" s="28" t="s">
        <v>21</v>
      </c>
      <c r="J37" s="28" t="s">
        <v>22</v>
      </c>
      <c r="K37" s="26">
        <v>1</v>
      </c>
      <c r="L37" s="26">
        <v>1</v>
      </c>
      <c r="M37" s="26">
        <v>1</v>
      </c>
      <c r="N37" s="26">
        <v>1</v>
      </c>
      <c r="O37" s="29" t="s">
        <v>34</v>
      </c>
    </row>
    <row r="38" spans="2:30" ht="14.25">
      <c r="B38" s="11" t="s">
        <v>34</v>
      </c>
      <c r="C38" s="46">
        <v>15</v>
      </c>
      <c r="D38" s="46">
        <v>1</v>
      </c>
      <c r="E38" s="21">
        <v>55</v>
      </c>
      <c r="F38" s="21">
        <f>C25-(2*C38)</f>
        <v>570</v>
      </c>
      <c r="G38" s="21">
        <v>2</v>
      </c>
      <c r="H38" s="23" t="s">
        <v>47</v>
      </c>
      <c r="I38" s="13" t="s">
        <v>21</v>
      </c>
      <c r="J38" s="13" t="s">
        <v>22</v>
      </c>
      <c r="M38" s="21">
        <v>1</v>
      </c>
      <c r="O38" s="14" t="s">
        <v>34</v>
      </c>
    </row>
    <row r="39" spans="2:30" ht="14.25">
      <c r="B39" s="38" t="s">
        <v>34</v>
      </c>
      <c r="C39" s="39">
        <v>15</v>
      </c>
      <c r="D39" s="39">
        <v>1</v>
      </c>
      <c r="E39" s="40">
        <v>40</v>
      </c>
      <c r="F39" s="40">
        <f>C25-(2*C39)</f>
        <v>570</v>
      </c>
      <c r="G39" s="40">
        <v>2</v>
      </c>
      <c r="H39" s="41" t="s">
        <v>47</v>
      </c>
      <c r="I39" s="42" t="s">
        <v>21</v>
      </c>
      <c r="J39" s="42" t="s">
        <v>22</v>
      </c>
      <c r="K39" s="40"/>
      <c r="L39" s="40"/>
      <c r="M39" s="40">
        <v>1</v>
      </c>
      <c r="N39" s="40"/>
      <c r="O39" s="43" t="s">
        <v>34</v>
      </c>
    </row>
    <row r="41" spans="2:30" ht="12.75">
      <c r="B41" s="53" t="s">
        <v>48</v>
      </c>
      <c r="C41" s="54"/>
      <c r="Q41" s="57" t="s">
        <v>49</v>
      </c>
      <c r="R41" s="54"/>
    </row>
    <row r="42" spans="2:30" ht="12.75">
      <c r="B42" s="1" t="s">
        <v>26</v>
      </c>
      <c r="C42" s="1" t="s">
        <v>27</v>
      </c>
      <c r="Q42" s="1" t="s">
        <v>26</v>
      </c>
      <c r="R42" s="1" t="s">
        <v>27</v>
      </c>
    </row>
    <row r="43" spans="2:30" ht="12.75">
      <c r="B43" s="2" t="s">
        <v>13</v>
      </c>
      <c r="C43" s="3">
        <v>300</v>
      </c>
      <c r="Q43" s="2" t="s">
        <v>13</v>
      </c>
      <c r="R43" s="3">
        <v>500</v>
      </c>
    </row>
    <row r="44" spans="2:30" ht="12.75">
      <c r="B44" s="2" t="s">
        <v>28</v>
      </c>
      <c r="C44" s="3">
        <v>585</v>
      </c>
      <c r="Q44" s="2" t="s">
        <v>28</v>
      </c>
      <c r="R44" s="3">
        <v>285</v>
      </c>
    </row>
    <row r="45" spans="2:30" ht="12.75">
      <c r="B45" s="4" t="s">
        <v>29</v>
      </c>
      <c r="C45" s="5">
        <v>710</v>
      </c>
      <c r="Q45" s="4" t="s">
        <v>29</v>
      </c>
      <c r="R45" s="5">
        <v>750</v>
      </c>
    </row>
    <row r="47" spans="2:30" ht="42.75">
      <c r="B47" s="6" t="s">
        <v>9</v>
      </c>
      <c r="C47" s="7" t="s">
        <v>10</v>
      </c>
      <c r="D47" s="7" t="s">
        <v>11</v>
      </c>
      <c r="E47" s="8" t="s">
        <v>12</v>
      </c>
      <c r="F47" s="8" t="s">
        <v>13</v>
      </c>
      <c r="G47" s="8" t="s">
        <v>14</v>
      </c>
      <c r="H47" s="8" t="s">
        <v>15</v>
      </c>
      <c r="I47" s="7" t="s">
        <v>16</v>
      </c>
      <c r="J47" s="7" t="s">
        <v>17</v>
      </c>
      <c r="K47" s="9" t="s">
        <v>30</v>
      </c>
      <c r="L47" s="9" t="s">
        <v>31</v>
      </c>
      <c r="M47" s="9" t="s">
        <v>32</v>
      </c>
      <c r="N47" s="9" t="s">
        <v>33</v>
      </c>
      <c r="O47" s="10" t="s">
        <v>18</v>
      </c>
      <c r="Q47" s="6" t="s">
        <v>9</v>
      </c>
      <c r="R47" s="7" t="s">
        <v>10</v>
      </c>
      <c r="S47" s="7" t="s">
        <v>11</v>
      </c>
      <c r="T47" s="8" t="s">
        <v>12</v>
      </c>
      <c r="U47" s="8" t="s">
        <v>13</v>
      </c>
      <c r="V47" s="8" t="s">
        <v>14</v>
      </c>
      <c r="W47" s="8" t="s">
        <v>15</v>
      </c>
      <c r="X47" s="7" t="s">
        <v>16</v>
      </c>
      <c r="Y47" s="7" t="s">
        <v>17</v>
      </c>
      <c r="Z47" s="9" t="s">
        <v>30</v>
      </c>
      <c r="AA47" s="9" t="s">
        <v>31</v>
      </c>
      <c r="AB47" s="9" t="s">
        <v>32</v>
      </c>
      <c r="AC47" s="9" t="s">
        <v>33</v>
      </c>
      <c r="AD47" s="10" t="s">
        <v>18</v>
      </c>
    </row>
    <row r="48" spans="2:30" ht="14.25">
      <c r="B48" s="11" t="s">
        <v>19</v>
      </c>
      <c r="C48" s="46">
        <v>15</v>
      </c>
      <c r="D48" s="46">
        <v>1</v>
      </c>
      <c r="E48" s="45">
        <f>C45</f>
        <v>710</v>
      </c>
      <c r="F48" s="45">
        <f>C44</f>
        <v>585</v>
      </c>
      <c r="G48" s="46">
        <v>2</v>
      </c>
      <c r="H48" s="12" t="s">
        <v>20</v>
      </c>
      <c r="I48" s="13" t="s">
        <v>21</v>
      </c>
      <c r="J48" s="13" t="s">
        <v>22</v>
      </c>
      <c r="K48" s="46">
        <v>1</v>
      </c>
      <c r="L48" s="46"/>
      <c r="M48" s="46"/>
      <c r="N48" s="46"/>
      <c r="O48" s="14" t="s">
        <v>34</v>
      </c>
      <c r="Q48" s="15" t="s">
        <v>19</v>
      </c>
      <c r="R48" s="16">
        <v>15</v>
      </c>
      <c r="S48" s="16">
        <v>1</v>
      </c>
      <c r="T48" s="17">
        <f>R45</f>
        <v>750</v>
      </c>
      <c r="U48" s="17">
        <f>R44</f>
        <v>285</v>
      </c>
      <c r="V48" s="16">
        <v>2</v>
      </c>
      <c r="W48" s="18" t="s">
        <v>20</v>
      </c>
      <c r="X48" s="19" t="s">
        <v>21</v>
      </c>
      <c r="Y48" s="19" t="s">
        <v>22</v>
      </c>
      <c r="Z48" s="16">
        <v>1</v>
      </c>
      <c r="AA48" s="16"/>
      <c r="AB48" s="18">
        <v>1</v>
      </c>
      <c r="AC48" s="16"/>
      <c r="AD48" s="20" t="s">
        <v>34</v>
      </c>
    </row>
    <row r="49" spans="2:30" ht="14.25">
      <c r="B49" s="11" t="s">
        <v>19</v>
      </c>
      <c r="C49" s="46">
        <v>15</v>
      </c>
      <c r="D49" s="46">
        <v>1</v>
      </c>
      <c r="E49" s="21">
        <f>C44</f>
        <v>585</v>
      </c>
      <c r="F49" s="21">
        <f>C43-(2*C49)</f>
        <v>270</v>
      </c>
      <c r="G49" s="21">
        <v>1</v>
      </c>
      <c r="H49" s="22" t="s">
        <v>23</v>
      </c>
      <c r="I49" s="13" t="s">
        <v>21</v>
      </c>
      <c r="J49" s="13" t="s">
        <v>22</v>
      </c>
      <c r="M49" s="21">
        <v>1</v>
      </c>
      <c r="O49" s="14" t="s">
        <v>34</v>
      </c>
      <c r="Q49" s="11" t="s">
        <v>19</v>
      </c>
      <c r="R49" s="46">
        <v>15</v>
      </c>
      <c r="S49" s="46">
        <v>1</v>
      </c>
      <c r="T49" s="21">
        <f>R44</f>
        <v>285</v>
      </c>
      <c r="U49" s="21">
        <f>R43-(2*R49)</f>
        <v>470</v>
      </c>
      <c r="V49" s="21">
        <v>2</v>
      </c>
      <c r="W49" s="22" t="s">
        <v>50</v>
      </c>
      <c r="X49" s="13" t="s">
        <v>21</v>
      </c>
      <c r="Y49" s="13" t="s">
        <v>22</v>
      </c>
      <c r="AB49" s="21">
        <v>1</v>
      </c>
      <c r="AD49" s="14" t="s">
        <v>34</v>
      </c>
    </row>
    <row r="50" spans="2:30" ht="14.25">
      <c r="B50" s="11" t="s">
        <v>19</v>
      </c>
      <c r="C50" s="46">
        <v>15</v>
      </c>
      <c r="D50" s="46">
        <v>1</v>
      </c>
      <c r="E50" s="21">
        <v>100</v>
      </c>
      <c r="F50" s="21">
        <f>C43-(2*C50)</f>
        <v>270</v>
      </c>
      <c r="G50" s="21">
        <v>2</v>
      </c>
      <c r="H50" s="22" t="s">
        <v>36</v>
      </c>
      <c r="I50" s="13" t="s">
        <v>21</v>
      </c>
      <c r="J50" s="13" t="s">
        <v>22</v>
      </c>
      <c r="M50" s="21">
        <v>1</v>
      </c>
      <c r="N50" s="21">
        <v>1</v>
      </c>
      <c r="O50" s="14" t="s">
        <v>19</v>
      </c>
      <c r="Q50" s="11" t="s">
        <v>19</v>
      </c>
      <c r="R50" s="46">
        <v>15</v>
      </c>
      <c r="S50" s="46">
        <v>1</v>
      </c>
      <c r="T50" s="21">
        <f>R45-(2*R50)</f>
        <v>720</v>
      </c>
      <c r="U50" s="21">
        <f>R43-(2*R50)</f>
        <v>470</v>
      </c>
      <c r="V50" s="21">
        <v>1</v>
      </c>
      <c r="W50" s="22" t="s">
        <v>36</v>
      </c>
      <c r="X50" s="13" t="s">
        <v>21</v>
      </c>
      <c r="Y50" s="13" t="s">
        <v>22</v>
      </c>
      <c r="AD50" s="14"/>
    </row>
    <row r="51" spans="2:30" ht="14.25">
      <c r="B51" s="11" t="s">
        <v>19</v>
      </c>
      <c r="C51" s="46">
        <v>15</v>
      </c>
      <c r="D51" s="46">
        <v>1</v>
      </c>
      <c r="E51" s="21">
        <v>100</v>
      </c>
      <c r="F51" s="21">
        <f>C43-(2*C51)</f>
        <v>270</v>
      </c>
      <c r="G51" s="21">
        <v>2</v>
      </c>
      <c r="H51" s="23" t="s">
        <v>35</v>
      </c>
      <c r="I51" s="13" t="s">
        <v>21</v>
      </c>
      <c r="J51" s="13" t="s">
        <v>22</v>
      </c>
      <c r="M51" s="21">
        <v>1</v>
      </c>
      <c r="N51" s="21">
        <v>1</v>
      </c>
      <c r="O51" s="14" t="s">
        <v>19</v>
      </c>
      <c r="Q51" s="24" t="s">
        <v>19</v>
      </c>
      <c r="R51" s="25">
        <v>15</v>
      </c>
      <c r="S51" s="25">
        <v>1</v>
      </c>
      <c r="T51" s="26">
        <f>R44-R51</f>
        <v>270</v>
      </c>
      <c r="U51" s="26">
        <f>R43-(2*R51)</f>
        <v>470</v>
      </c>
      <c r="V51" s="26">
        <v>2</v>
      </c>
      <c r="W51" s="27" t="s">
        <v>38</v>
      </c>
      <c r="X51" s="28" t="s">
        <v>21</v>
      </c>
      <c r="Y51" s="28" t="s">
        <v>22</v>
      </c>
      <c r="Z51" s="26"/>
      <c r="AA51" s="26"/>
      <c r="AB51" s="26"/>
      <c r="AC51" s="26">
        <v>1</v>
      </c>
      <c r="AD51" s="29" t="s">
        <v>19</v>
      </c>
    </row>
    <row r="52" spans="2:30" ht="14.25">
      <c r="B52" s="11" t="s">
        <v>19</v>
      </c>
      <c r="C52" s="46">
        <v>15</v>
      </c>
      <c r="D52" s="46">
        <v>1</v>
      </c>
      <c r="E52" s="21">
        <f t="shared" ref="E52:E53" si="0">450-(2*C52)</f>
        <v>420</v>
      </c>
      <c r="F52" s="21">
        <f>C43-(4*C52)-26</f>
        <v>214</v>
      </c>
      <c r="G52" s="21">
        <v>2</v>
      </c>
      <c r="H52" s="22" t="s">
        <v>37</v>
      </c>
      <c r="I52" s="13" t="s">
        <v>21</v>
      </c>
      <c r="J52" s="13" t="s">
        <v>22</v>
      </c>
      <c r="O52" s="14"/>
      <c r="Q52" s="30" t="s">
        <v>34</v>
      </c>
      <c r="R52" s="31">
        <v>15</v>
      </c>
      <c r="S52" s="31">
        <v>1</v>
      </c>
      <c r="T52" s="32">
        <f>R45+15</f>
        <v>765</v>
      </c>
      <c r="U52" s="32">
        <f>R43-4</f>
        <v>496</v>
      </c>
      <c r="V52" s="32">
        <v>1</v>
      </c>
      <c r="W52" s="33" t="s">
        <v>40</v>
      </c>
      <c r="X52" s="34" t="s">
        <v>21</v>
      </c>
      <c r="Y52" s="34" t="s">
        <v>22</v>
      </c>
      <c r="Z52" s="32">
        <v>1</v>
      </c>
      <c r="AA52" s="32">
        <v>1</v>
      </c>
      <c r="AB52" s="32">
        <v>1</v>
      </c>
      <c r="AC52" s="32">
        <v>1</v>
      </c>
      <c r="AD52" s="35" t="s">
        <v>34</v>
      </c>
    </row>
    <row r="53" spans="2:30" ht="14.25">
      <c r="B53" s="11" t="s">
        <v>19</v>
      </c>
      <c r="C53" s="46">
        <v>15</v>
      </c>
      <c r="D53" s="46">
        <v>1</v>
      </c>
      <c r="E53" s="21">
        <f t="shared" si="0"/>
        <v>420</v>
      </c>
      <c r="F53" s="21">
        <v>100</v>
      </c>
      <c r="G53" s="21">
        <v>4</v>
      </c>
      <c r="H53" s="22" t="s">
        <v>39</v>
      </c>
      <c r="I53" s="13" t="s">
        <v>21</v>
      </c>
      <c r="J53" s="13" t="s">
        <v>22</v>
      </c>
      <c r="K53" s="21">
        <v>1</v>
      </c>
      <c r="O53" s="14" t="s">
        <v>19</v>
      </c>
    </row>
    <row r="54" spans="2:30" ht="14.25">
      <c r="B54" s="11" t="s">
        <v>19</v>
      </c>
      <c r="C54" s="46">
        <v>15</v>
      </c>
      <c r="D54" s="46">
        <v>1</v>
      </c>
      <c r="E54" s="21">
        <v>550</v>
      </c>
      <c r="F54" s="21">
        <f>C43-(2*C54)-26</f>
        <v>244</v>
      </c>
      <c r="G54" s="21">
        <v>2</v>
      </c>
      <c r="H54" s="22" t="s">
        <v>41</v>
      </c>
      <c r="I54" s="13" t="s">
        <v>21</v>
      </c>
      <c r="J54" s="13" t="s">
        <v>22</v>
      </c>
      <c r="K54" s="21">
        <v>1</v>
      </c>
      <c r="L54" s="21">
        <v>1</v>
      </c>
      <c r="M54" s="21">
        <v>1</v>
      </c>
      <c r="N54" s="21">
        <v>1</v>
      </c>
      <c r="O54" s="14" t="s">
        <v>19</v>
      </c>
    </row>
    <row r="55" spans="2:30" ht="14.25">
      <c r="B55" s="24" t="s">
        <v>34</v>
      </c>
      <c r="C55" s="37">
        <v>15</v>
      </c>
      <c r="D55" s="37">
        <v>1</v>
      </c>
      <c r="E55" s="26">
        <f>C45-40</f>
        <v>670</v>
      </c>
      <c r="F55" s="26">
        <f>C43-4</f>
        <v>296</v>
      </c>
      <c r="G55" s="26">
        <v>1</v>
      </c>
      <c r="H55" s="27" t="s">
        <v>51</v>
      </c>
      <c r="I55" s="28" t="s">
        <v>21</v>
      </c>
      <c r="J55" s="28" t="s">
        <v>22</v>
      </c>
      <c r="K55" s="26">
        <v>1</v>
      </c>
      <c r="L55" s="26">
        <v>1</v>
      </c>
      <c r="M55" s="26">
        <v>1</v>
      </c>
      <c r="N55" s="26">
        <v>1</v>
      </c>
      <c r="O55" s="29" t="s">
        <v>34</v>
      </c>
    </row>
    <row r="56" spans="2:30" ht="14.25">
      <c r="B56" s="11" t="s">
        <v>34</v>
      </c>
      <c r="C56" s="46">
        <v>15</v>
      </c>
      <c r="D56" s="46">
        <v>1</v>
      </c>
      <c r="E56" s="21">
        <v>55</v>
      </c>
      <c r="F56" s="21">
        <f>C43-(2*C56)</f>
        <v>270</v>
      </c>
      <c r="G56" s="21">
        <v>1</v>
      </c>
      <c r="H56" s="23" t="s">
        <v>47</v>
      </c>
      <c r="I56" s="13" t="s">
        <v>21</v>
      </c>
      <c r="J56" s="13" t="s">
        <v>22</v>
      </c>
      <c r="M56" s="21">
        <v>1</v>
      </c>
      <c r="O56" s="14" t="s">
        <v>34</v>
      </c>
    </row>
    <row r="57" spans="2:30" ht="14.25">
      <c r="B57" s="38" t="s">
        <v>34</v>
      </c>
      <c r="C57" s="39">
        <v>15</v>
      </c>
      <c r="D57" s="39">
        <v>1</v>
      </c>
      <c r="E57" s="40">
        <v>40</v>
      </c>
      <c r="F57" s="40">
        <f>C43-(2*C57)</f>
        <v>270</v>
      </c>
      <c r="G57" s="40">
        <v>1</v>
      </c>
      <c r="H57" s="41" t="s">
        <v>47</v>
      </c>
      <c r="I57" s="42" t="s">
        <v>21</v>
      </c>
      <c r="J57" s="42" t="s">
        <v>22</v>
      </c>
      <c r="K57" s="40"/>
      <c r="L57" s="40"/>
      <c r="M57" s="40">
        <v>1</v>
      </c>
      <c r="N57" s="40"/>
      <c r="O57" s="43" t="s">
        <v>34</v>
      </c>
    </row>
    <row r="59" spans="2:30" ht="12.75">
      <c r="B59" s="53" t="s">
        <v>52</v>
      </c>
      <c r="C59" s="54"/>
    </row>
    <row r="60" spans="2:30" ht="12.75">
      <c r="B60" s="1" t="s">
        <v>26</v>
      </c>
      <c r="C60" s="1" t="s">
        <v>27</v>
      </c>
    </row>
    <row r="61" spans="2:30" ht="12.75">
      <c r="B61" s="2" t="s">
        <v>13</v>
      </c>
      <c r="C61" s="3">
        <v>450</v>
      </c>
    </row>
    <row r="62" spans="2:30" ht="12.75">
      <c r="B62" s="2" t="s">
        <v>28</v>
      </c>
      <c r="C62" s="3">
        <v>585</v>
      </c>
    </row>
    <row r="63" spans="2:30" ht="12.75">
      <c r="B63" s="4" t="s">
        <v>29</v>
      </c>
      <c r="C63" s="5">
        <v>710</v>
      </c>
    </row>
    <row r="65" spans="2:15" ht="42.75">
      <c r="B65" s="6" t="s">
        <v>9</v>
      </c>
      <c r="C65" s="7" t="s">
        <v>10</v>
      </c>
      <c r="D65" s="7" t="s">
        <v>11</v>
      </c>
      <c r="E65" s="8" t="s">
        <v>12</v>
      </c>
      <c r="F65" s="8" t="s">
        <v>13</v>
      </c>
      <c r="G65" s="8" t="s">
        <v>14</v>
      </c>
      <c r="H65" s="8" t="s">
        <v>15</v>
      </c>
      <c r="I65" s="7" t="s">
        <v>16</v>
      </c>
      <c r="J65" s="7" t="s">
        <v>17</v>
      </c>
      <c r="K65" s="9" t="s">
        <v>30</v>
      </c>
      <c r="L65" s="9" t="s">
        <v>31</v>
      </c>
      <c r="M65" s="9" t="s">
        <v>32</v>
      </c>
      <c r="N65" s="9" t="s">
        <v>33</v>
      </c>
      <c r="O65" s="10" t="s">
        <v>18</v>
      </c>
    </row>
    <row r="66" spans="2:15" ht="14.25">
      <c r="B66" s="11" t="s">
        <v>19</v>
      </c>
      <c r="C66" s="46">
        <v>15</v>
      </c>
      <c r="D66" s="46">
        <v>1</v>
      </c>
      <c r="E66" s="45">
        <f>C63</f>
        <v>710</v>
      </c>
      <c r="F66" s="45">
        <f>C62</f>
        <v>585</v>
      </c>
      <c r="G66" s="46">
        <v>2</v>
      </c>
      <c r="H66" s="12" t="s">
        <v>20</v>
      </c>
      <c r="I66" s="13" t="s">
        <v>21</v>
      </c>
      <c r="J66" s="13" t="s">
        <v>22</v>
      </c>
      <c r="K66" s="46">
        <v>1</v>
      </c>
      <c r="L66" s="46"/>
      <c r="M66" s="46"/>
      <c r="N66" s="46"/>
      <c r="O66" s="14" t="s">
        <v>34</v>
      </c>
    </row>
    <row r="67" spans="2:15" ht="14.25">
      <c r="B67" s="11" t="s">
        <v>19</v>
      </c>
      <c r="C67" s="46">
        <v>15</v>
      </c>
      <c r="D67" s="46">
        <v>1</v>
      </c>
      <c r="E67" s="21">
        <f>C62</f>
        <v>585</v>
      </c>
      <c r="F67" s="21">
        <f>C61-(2*C67)</f>
        <v>420</v>
      </c>
      <c r="G67" s="21">
        <v>1</v>
      </c>
      <c r="H67" s="22" t="s">
        <v>23</v>
      </c>
      <c r="I67" s="13" t="s">
        <v>21</v>
      </c>
      <c r="J67" s="13" t="s">
        <v>22</v>
      </c>
      <c r="M67" s="21">
        <v>1</v>
      </c>
      <c r="O67" s="14" t="s">
        <v>34</v>
      </c>
    </row>
    <row r="68" spans="2:15" ht="14.25">
      <c r="B68" s="11" t="s">
        <v>19</v>
      </c>
      <c r="C68" s="46">
        <v>15</v>
      </c>
      <c r="D68" s="46">
        <v>1</v>
      </c>
      <c r="E68" s="21">
        <v>100</v>
      </c>
      <c r="F68" s="21">
        <f>C61-(2*C68)</f>
        <v>420</v>
      </c>
      <c r="G68" s="21">
        <v>2</v>
      </c>
      <c r="H68" s="22" t="s">
        <v>36</v>
      </c>
      <c r="I68" s="13" t="s">
        <v>21</v>
      </c>
      <c r="J68" s="13" t="s">
        <v>22</v>
      </c>
      <c r="M68" s="21">
        <v>1</v>
      </c>
      <c r="N68" s="21">
        <v>1</v>
      </c>
      <c r="O68" s="14" t="s">
        <v>19</v>
      </c>
    </row>
    <row r="69" spans="2:15" ht="14.25">
      <c r="B69" s="11" t="s">
        <v>19</v>
      </c>
      <c r="C69" s="46">
        <v>15</v>
      </c>
      <c r="D69" s="46">
        <v>1</v>
      </c>
      <c r="E69" s="21">
        <v>100</v>
      </c>
      <c r="F69" s="21">
        <f>C61-(2*C69)</f>
        <v>420</v>
      </c>
      <c r="G69" s="21">
        <v>2</v>
      </c>
      <c r="H69" s="23" t="s">
        <v>35</v>
      </c>
      <c r="I69" s="13" t="s">
        <v>21</v>
      </c>
      <c r="J69" s="13" t="s">
        <v>22</v>
      </c>
      <c r="M69" s="21">
        <v>1</v>
      </c>
      <c r="N69" s="21">
        <v>1</v>
      </c>
      <c r="O69" s="14" t="s">
        <v>19</v>
      </c>
    </row>
    <row r="70" spans="2:15" ht="14.25">
      <c r="B70" s="11" t="s">
        <v>19</v>
      </c>
      <c r="C70" s="46">
        <v>15</v>
      </c>
      <c r="D70" s="46">
        <v>1</v>
      </c>
      <c r="E70" s="21">
        <f t="shared" ref="E70:E71" si="1">450-(2*C70)</f>
        <v>420</v>
      </c>
      <c r="F70" s="21">
        <f>C61-(4*C70)-26</f>
        <v>364</v>
      </c>
      <c r="G70" s="21">
        <v>1</v>
      </c>
      <c r="H70" s="22" t="s">
        <v>37</v>
      </c>
      <c r="I70" s="13" t="s">
        <v>21</v>
      </c>
      <c r="J70" s="13" t="s">
        <v>22</v>
      </c>
      <c r="O70" s="14"/>
    </row>
    <row r="71" spans="2:15" ht="14.25">
      <c r="B71" s="11" t="s">
        <v>19</v>
      </c>
      <c r="C71" s="46">
        <v>15</v>
      </c>
      <c r="D71" s="46">
        <v>1</v>
      </c>
      <c r="E71" s="21">
        <f t="shared" si="1"/>
        <v>420</v>
      </c>
      <c r="F71" s="21">
        <v>100</v>
      </c>
      <c r="G71" s="21">
        <v>4</v>
      </c>
      <c r="H71" s="22" t="s">
        <v>39</v>
      </c>
      <c r="I71" s="13" t="s">
        <v>21</v>
      </c>
      <c r="J71" s="13" t="s">
        <v>22</v>
      </c>
      <c r="K71" s="21">
        <v>1</v>
      </c>
      <c r="L71" s="21">
        <v>1</v>
      </c>
      <c r="O71" s="14" t="s">
        <v>19</v>
      </c>
    </row>
    <row r="72" spans="2:15" ht="14.25">
      <c r="B72" s="11" t="s">
        <v>19</v>
      </c>
      <c r="C72" s="46">
        <v>15</v>
      </c>
      <c r="D72" s="46">
        <v>1</v>
      </c>
      <c r="E72" s="21">
        <v>550</v>
      </c>
      <c r="F72" s="21">
        <f>C61-(2*C72)-26</f>
        <v>394</v>
      </c>
      <c r="G72" s="21">
        <v>2</v>
      </c>
      <c r="H72" s="22" t="s">
        <v>41</v>
      </c>
      <c r="I72" s="13" t="s">
        <v>21</v>
      </c>
      <c r="J72" s="13" t="s">
        <v>22</v>
      </c>
      <c r="K72" s="21">
        <v>1</v>
      </c>
      <c r="L72" s="21">
        <v>1</v>
      </c>
      <c r="M72" s="21">
        <v>1</v>
      </c>
      <c r="N72" s="21">
        <v>1</v>
      </c>
      <c r="O72" s="14" t="s">
        <v>19</v>
      </c>
    </row>
    <row r="73" spans="2:15" ht="14.25">
      <c r="B73" s="24" t="s">
        <v>34</v>
      </c>
      <c r="C73" s="37">
        <v>15</v>
      </c>
      <c r="D73" s="37">
        <v>1</v>
      </c>
      <c r="E73" s="26">
        <f>C63-40</f>
        <v>670</v>
      </c>
      <c r="F73" s="26">
        <f>C61-5</f>
        <v>445</v>
      </c>
      <c r="G73" s="26">
        <v>1</v>
      </c>
      <c r="H73" s="27" t="s">
        <v>51</v>
      </c>
      <c r="I73" s="28" t="s">
        <v>21</v>
      </c>
      <c r="J73" s="28" t="s">
        <v>22</v>
      </c>
      <c r="K73" s="26">
        <v>1</v>
      </c>
      <c r="L73" s="26">
        <v>1</v>
      </c>
      <c r="M73" s="26">
        <v>1</v>
      </c>
      <c r="N73" s="26">
        <v>1</v>
      </c>
      <c r="O73" s="29" t="s">
        <v>34</v>
      </c>
    </row>
    <row r="74" spans="2:15" ht="14.25">
      <c r="B74" s="11" t="s">
        <v>34</v>
      </c>
      <c r="C74" s="46">
        <v>15</v>
      </c>
      <c r="D74" s="46">
        <v>1</v>
      </c>
      <c r="E74" s="21">
        <v>55</v>
      </c>
      <c r="F74" s="21">
        <f>C61-(2*C74)</f>
        <v>420</v>
      </c>
      <c r="G74" s="21">
        <v>1</v>
      </c>
      <c r="H74" s="23" t="s">
        <v>47</v>
      </c>
      <c r="I74" s="13" t="s">
        <v>21</v>
      </c>
      <c r="J74" s="13" t="s">
        <v>22</v>
      </c>
      <c r="M74" s="21">
        <v>1</v>
      </c>
      <c r="O74" s="14" t="s">
        <v>34</v>
      </c>
    </row>
    <row r="75" spans="2:15" ht="14.25">
      <c r="B75" s="38" t="s">
        <v>34</v>
      </c>
      <c r="C75" s="39">
        <v>15</v>
      </c>
      <c r="D75" s="39">
        <v>1</v>
      </c>
      <c r="E75" s="40">
        <v>40</v>
      </c>
      <c r="F75" s="40">
        <f>C61-(2*C75)</f>
        <v>420</v>
      </c>
      <c r="G75" s="40">
        <v>1</v>
      </c>
      <c r="H75" s="41" t="s">
        <v>47</v>
      </c>
      <c r="I75" s="42" t="s">
        <v>21</v>
      </c>
      <c r="J75" s="42" t="s">
        <v>22</v>
      </c>
      <c r="K75" s="40"/>
      <c r="L75" s="40"/>
      <c r="M75" s="40">
        <v>1</v>
      </c>
      <c r="N75" s="40"/>
      <c r="O75" s="43" t="s">
        <v>34</v>
      </c>
    </row>
    <row r="77" spans="2:15" ht="12.75">
      <c r="B77" s="53" t="s">
        <v>53</v>
      </c>
      <c r="C77" s="54"/>
    </row>
    <row r="78" spans="2:15" ht="12.75">
      <c r="B78" s="1" t="s">
        <v>26</v>
      </c>
      <c r="C78" s="1" t="s">
        <v>27</v>
      </c>
    </row>
    <row r="79" spans="2:15" ht="12.75">
      <c r="B79" s="2" t="s">
        <v>13</v>
      </c>
      <c r="C79" s="3">
        <v>770</v>
      </c>
    </row>
    <row r="80" spans="2:15" ht="12.75">
      <c r="B80" s="2" t="s">
        <v>28</v>
      </c>
      <c r="C80" s="3">
        <v>585</v>
      </c>
    </row>
    <row r="81" spans="2:15" ht="12.75">
      <c r="B81" s="4" t="s">
        <v>29</v>
      </c>
      <c r="C81" s="5">
        <v>710</v>
      </c>
    </row>
    <row r="83" spans="2:15" ht="42.75">
      <c r="B83" s="6" t="s">
        <v>9</v>
      </c>
      <c r="C83" s="7" t="s">
        <v>10</v>
      </c>
      <c r="D83" s="7" t="s">
        <v>11</v>
      </c>
      <c r="E83" s="8" t="s">
        <v>12</v>
      </c>
      <c r="F83" s="8" t="s">
        <v>13</v>
      </c>
      <c r="G83" s="8" t="s">
        <v>14</v>
      </c>
      <c r="H83" s="8" t="s">
        <v>15</v>
      </c>
      <c r="I83" s="7" t="s">
        <v>16</v>
      </c>
      <c r="J83" s="7" t="s">
        <v>17</v>
      </c>
      <c r="K83" s="9" t="s">
        <v>30</v>
      </c>
      <c r="L83" s="9" t="s">
        <v>31</v>
      </c>
      <c r="M83" s="9" t="s">
        <v>32</v>
      </c>
      <c r="N83" s="9" t="s">
        <v>33</v>
      </c>
      <c r="O83" s="10" t="s">
        <v>18</v>
      </c>
    </row>
    <row r="84" spans="2:15" ht="14.25">
      <c r="B84" s="11" t="s">
        <v>19</v>
      </c>
      <c r="C84" s="46">
        <v>15</v>
      </c>
      <c r="D84" s="46">
        <v>1</v>
      </c>
      <c r="E84" s="45">
        <f>C81</f>
        <v>710</v>
      </c>
      <c r="F84" s="45">
        <f>C80</f>
        <v>585</v>
      </c>
      <c r="G84" s="46">
        <v>2</v>
      </c>
      <c r="H84" s="12" t="s">
        <v>20</v>
      </c>
      <c r="I84" s="13" t="s">
        <v>21</v>
      </c>
      <c r="J84" s="13" t="s">
        <v>22</v>
      </c>
      <c r="K84" s="46">
        <v>1</v>
      </c>
      <c r="L84" s="46"/>
      <c r="M84" s="46"/>
      <c r="N84" s="46"/>
      <c r="O84" s="14" t="s">
        <v>34</v>
      </c>
    </row>
    <row r="85" spans="2:15" ht="14.25">
      <c r="B85" s="11" t="s">
        <v>19</v>
      </c>
      <c r="C85" s="46">
        <v>15</v>
      </c>
      <c r="D85" s="46">
        <v>1</v>
      </c>
      <c r="E85" s="21">
        <f>C80</f>
        <v>585</v>
      </c>
      <c r="F85" s="21">
        <f>C79-(2*C85)</f>
        <v>740</v>
      </c>
      <c r="G85" s="21">
        <v>1</v>
      </c>
      <c r="H85" s="22" t="s">
        <v>23</v>
      </c>
      <c r="I85" s="13" t="s">
        <v>21</v>
      </c>
      <c r="J85" s="13" t="s">
        <v>22</v>
      </c>
      <c r="M85" s="21">
        <v>1</v>
      </c>
      <c r="O85" s="14" t="s">
        <v>34</v>
      </c>
    </row>
    <row r="86" spans="2:15" ht="14.25">
      <c r="B86" s="11" t="s">
        <v>19</v>
      </c>
      <c r="C86" s="46">
        <v>15</v>
      </c>
      <c r="D86" s="46">
        <v>1</v>
      </c>
      <c r="E86" s="21">
        <v>100</v>
      </c>
      <c r="F86" s="21">
        <f>C79-(2*C86)</f>
        <v>740</v>
      </c>
      <c r="G86" s="21">
        <v>2</v>
      </c>
      <c r="H86" s="22" t="s">
        <v>36</v>
      </c>
      <c r="I86" s="13" t="s">
        <v>21</v>
      </c>
      <c r="J86" s="13" t="s">
        <v>22</v>
      </c>
      <c r="M86" s="21">
        <v>1</v>
      </c>
      <c r="N86" s="21">
        <v>1</v>
      </c>
      <c r="O86" s="14" t="s">
        <v>19</v>
      </c>
    </row>
    <row r="87" spans="2:15" ht="14.25">
      <c r="B87" s="11" t="s">
        <v>19</v>
      </c>
      <c r="C87" s="46">
        <v>15</v>
      </c>
      <c r="D87" s="46">
        <v>1</v>
      </c>
      <c r="E87" s="21">
        <v>100</v>
      </c>
      <c r="F87" s="21">
        <f>C79-(2*C87)</f>
        <v>740</v>
      </c>
      <c r="G87" s="21">
        <v>2</v>
      </c>
      <c r="H87" s="23" t="s">
        <v>35</v>
      </c>
      <c r="I87" s="13" t="s">
        <v>21</v>
      </c>
      <c r="J87" s="13" t="s">
        <v>22</v>
      </c>
      <c r="M87" s="21">
        <v>1</v>
      </c>
      <c r="N87" s="21">
        <v>1</v>
      </c>
      <c r="O87" s="14" t="s">
        <v>19</v>
      </c>
    </row>
    <row r="88" spans="2:15" ht="14.25">
      <c r="B88" s="24" t="s">
        <v>19</v>
      </c>
      <c r="C88" s="25">
        <v>15</v>
      </c>
      <c r="D88" s="25">
        <v>1</v>
      </c>
      <c r="E88" s="26">
        <f>C80</f>
        <v>585</v>
      </c>
      <c r="F88" s="26">
        <f>C79-(2*C88)</f>
        <v>740</v>
      </c>
      <c r="G88" s="26">
        <v>1</v>
      </c>
      <c r="H88" s="27" t="s">
        <v>38</v>
      </c>
      <c r="I88" s="28" t="s">
        <v>21</v>
      </c>
      <c r="J88" s="28" t="s">
        <v>22</v>
      </c>
      <c r="K88" s="26"/>
      <c r="L88" s="26"/>
      <c r="M88" s="26"/>
      <c r="N88" s="26">
        <v>1</v>
      </c>
      <c r="O88" s="29" t="s">
        <v>19</v>
      </c>
    </row>
    <row r="89" spans="2:15" ht="14.25">
      <c r="B89" s="24" t="s">
        <v>34</v>
      </c>
      <c r="C89" s="37">
        <v>15</v>
      </c>
      <c r="D89" s="37">
        <v>1</v>
      </c>
      <c r="E89" s="26">
        <f>C81-40</f>
        <v>670</v>
      </c>
      <c r="F89" s="26">
        <f>C79-4</f>
        <v>766</v>
      </c>
      <c r="G89" s="26">
        <v>1</v>
      </c>
      <c r="H89" s="27" t="s">
        <v>40</v>
      </c>
      <c r="I89" s="28" t="s">
        <v>21</v>
      </c>
      <c r="J89" s="28" t="s">
        <v>22</v>
      </c>
      <c r="K89" s="26">
        <v>1</v>
      </c>
      <c r="L89" s="26">
        <v>1</v>
      </c>
      <c r="M89" s="26">
        <v>1</v>
      </c>
      <c r="N89" s="26">
        <v>1</v>
      </c>
      <c r="O89" s="29" t="s">
        <v>34</v>
      </c>
    </row>
    <row r="90" spans="2:15" ht="14.25">
      <c r="B90" s="11" t="s">
        <v>34</v>
      </c>
      <c r="C90" s="46">
        <v>15</v>
      </c>
      <c r="D90" s="46">
        <v>1</v>
      </c>
      <c r="E90" s="21">
        <v>55</v>
      </c>
      <c r="F90" s="21">
        <f>C79-(2*C90)</f>
        <v>740</v>
      </c>
      <c r="G90" s="21">
        <v>1</v>
      </c>
      <c r="H90" s="23" t="s">
        <v>47</v>
      </c>
      <c r="I90" s="13" t="s">
        <v>21</v>
      </c>
      <c r="J90" s="13" t="s">
        <v>22</v>
      </c>
      <c r="M90" s="21">
        <v>1</v>
      </c>
      <c r="O90" s="14" t="s">
        <v>34</v>
      </c>
    </row>
    <row r="91" spans="2:15" ht="14.25">
      <c r="B91" s="38" t="s">
        <v>34</v>
      </c>
      <c r="C91" s="39">
        <v>15</v>
      </c>
      <c r="D91" s="39">
        <v>1</v>
      </c>
      <c r="E91" s="40">
        <v>40</v>
      </c>
      <c r="F91" s="40">
        <f>C79-(2*C91)</f>
        <v>740</v>
      </c>
      <c r="G91" s="40">
        <v>1</v>
      </c>
      <c r="H91" s="41" t="s">
        <v>47</v>
      </c>
      <c r="I91" s="42" t="s">
        <v>21</v>
      </c>
      <c r="J91" s="42" t="s">
        <v>22</v>
      </c>
      <c r="K91" s="40"/>
      <c r="L91" s="40"/>
      <c r="M91" s="40">
        <v>1</v>
      </c>
      <c r="N91" s="40"/>
      <c r="O91" s="43" t="s">
        <v>34</v>
      </c>
    </row>
    <row r="93" spans="2:15" ht="12.75">
      <c r="B93" s="53"/>
      <c r="C93" s="54"/>
    </row>
    <row r="94" spans="2:15" ht="12.75">
      <c r="B94" s="1" t="s">
        <v>26</v>
      </c>
      <c r="C94" s="1" t="s">
        <v>27</v>
      </c>
    </row>
    <row r="95" spans="2:15" ht="12.75">
      <c r="B95" s="2" t="s">
        <v>54</v>
      </c>
      <c r="C95" s="3">
        <v>725</v>
      </c>
    </row>
    <row r="96" spans="2:15" ht="12.75">
      <c r="B96" s="2" t="s">
        <v>55</v>
      </c>
      <c r="C96" s="3">
        <v>1005</v>
      </c>
    </row>
    <row r="97" spans="2:15" ht="12.75">
      <c r="B97" s="2" t="s">
        <v>28</v>
      </c>
      <c r="C97" s="3">
        <v>585</v>
      </c>
    </row>
    <row r="98" spans="2:15" ht="12.75">
      <c r="B98" s="4" t="s">
        <v>29</v>
      </c>
      <c r="C98" s="5">
        <v>710</v>
      </c>
    </row>
    <row r="100" spans="2:15" ht="42.75">
      <c r="B100" s="6" t="s">
        <v>9</v>
      </c>
      <c r="C100" s="7" t="s">
        <v>10</v>
      </c>
      <c r="D100" s="7" t="s">
        <v>11</v>
      </c>
      <c r="E100" s="8" t="s">
        <v>12</v>
      </c>
      <c r="F100" s="8" t="s">
        <v>13</v>
      </c>
      <c r="G100" s="8" t="s">
        <v>14</v>
      </c>
      <c r="H100" s="8" t="s">
        <v>15</v>
      </c>
      <c r="I100" s="7" t="s">
        <v>16</v>
      </c>
      <c r="J100" s="7" t="s">
        <v>17</v>
      </c>
      <c r="K100" s="9" t="s">
        <v>30</v>
      </c>
      <c r="L100" s="9" t="s">
        <v>31</v>
      </c>
      <c r="M100" s="9" t="s">
        <v>32</v>
      </c>
      <c r="N100" s="9" t="s">
        <v>33</v>
      </c>
      <c r="O100" s="10" t="s">
        <v>18</v>
      </c>
    </row>
    <row r="101" spans="2:15" ht="14.25">
      <c r="B101" s="11" t="s">
        <v>19</v>
      </c>
      <c r="C101" s="46">
        <v>15</v>
      </c>
      <c r="D101" s="46">
        <v>1</v>
      </c>
      <c r="E101" s="45">
        <f>C98</f>
        <v>710</v>
      </c>
      <c r="F101" s="45">
        <f>C97</f>
        <v>585</v>
      </c>
      <c r="G101" s="46">
        <v>2</v>
      </c>
      <c r="H101" s="12" t="s">
        <v>20</v>
      </c>
      <c r="I101" s="13" t="s">
        <v>21</v>
      </c>
      <c r="J101" s="13" t="s">
        <v>22</v>
      </c>
      <c r="K101" s="46">
        <v>1</v>
      </c>
      <c r="L101" s="46"/>
      <c r="M101" s="46"/>
      <c r="N101" s="46"/>
      <c r="O101" s="14" t="s">
        <v>34</v>
      </c>
    </row>
    <row r="102" spans="2:15" ht="14.25">
      <c r="B102" s="11" t="s">
        <v>19</v>
      </c>
      <c r="C102" s="46">
        <v>15</v>
      </c>
      <c r="D102" s="46">
        <v>1</v>
      </c>
      <c r="E102" s="21">
        <f>C97</f>
        <v>585</v>
      </c>
      <c r="F102" s="21">
        <f>C96-(2*C102)</f>
        <v>975</v>
      </c>
      <c r="G102" s="21">
        <v>1</v>
      </c>
      <c r="H102" s="22" t="s">
        <v>23</v>
      </c>
      <c r="I102" s="13" t="s">
        <v>21</v>
      </c>
      <c r="J102" s="13" t="s">
        <v>22</v>
      </c>
      <c r="M102" s="21">
        <v>1</v>
      </c>
      <c r="O102" s="14" t="s">
        <v>34</v>
      </c>
    </row>
    <row r="103" spans="2:15" ht="14.25">
      <c r="B103" s="11" t="s">
        <v>19</v>
      </c>
      <c r="C103" s="46">
        <v>15</v>
      </c>
      <c r="D103" s="46">
        <v>1</v>
      </c>
      <c r="E103" s="21">
        <v>100</v>
      </c>
      <c r="F103" s="21">
        <f>C96-(2*C103)</f>
        <v>975</v>
      </c>
      <c r="G103" s="21">
        <v>2</v>
      </c>
      <c r="H103" s="22" t="s">
        <v>36</v>
      </c>
      <c r="I103" s="13" t="s">
        <v>21</v>
      </c>
      <c r="J103" s="13" t="s">
        <v>22</v>
      </c>
      <c r="M103" s="21">
        <v>1</v>
      </c>
      <c r="N103" s="21">
        <v>1</v>
      </c>
      <c r="O103" s="14" t="s">
        <v>19</v>
      </c>
    </row>
    <row r="104" spans="2:15" ht="14.25">
      <c r="B104" s="11" t="s">
        <v>19</v>
      </c>
      <c r="C104" s="46">
        <v>15</v>
      </c>
      <c r="D104" s="46">
        <v>1</v>
      </c>
      <c r="E104" s="21">
        <v>100</v>
      </c>
      <c r="F104" s="21">
        <f>C96-(2*C104)</f>
        <v>975</v>
      </c>
      <c r="G104" s="21">
        <v>2</v>
      </c>
      <c r="H104" s="23" t="s">
        <v>35</v>
      </c>
      <c r="I104" s="13" t="s">
        <v>21</v>
      </c>
      <c r="J104" s="13" t="s">
        <v>22</v>
      </c>
      <c r="M104" s="21">
        <v>1</v>
      </c>
      <c r="N104" s="21">
        <v>1</v>
      </c>
      <c r="O104" s="14" t="s">
        <v>19</v>
      </c>
    </row>
    <row r="105" spans="2:15" ht="14.25">
      <c r="B105" s="11" t="s">
        <v>19</v>
      </c>
      <c r="C105" s="12">
        <v>15</v>
      </c>
      <c r="D105" s="12">
        <v>1</v>
      </c>
      <c r="E105" s="21">
        <f>C97</f>
        <v>585</v>
      </c>
      <c r="F105" s="21">
        <f>C96-(2*C105)</f>
        <v>975</v>
      </c>
      <c r="G105" s="21">
        <v>1</v>
      </c>
      <c r="H105" s="22" t="s">
        <v>38</v>
      </c>
      <c r="I105" s="13" t="s">
        <v>21</v>
      </c>
      <c r="J105" s="13" t="s">
        <v>22</v>
      </c>
      <c r="K105" s="21"/>
      <c r="L105" s="21"/>
      <c r="M105" s="21"/>
      <c r="N105" s="21">
        <v>1</v>
      </c>
      <c r="O105" s="14" t="s">
        <v>19</v>
      </c>
    </row>
    <row r="106" spans="2:15" ht="14.25">
      <c r="B106" s="24" t="s">
        <v>34</v>
      </c>
      <c r="C106" s="37">
        <v>15</v>
      </c>
      <c r="D106" s="37">
        <v>1</v>
      </c>
      <c r="E106" s="26">
        <f>C98-40</f>
        <v>670</v>
      </c>
      <c r="F106" s="26">
        <f>C96-C97-C106-5</f>
        <v>400</v>
      </c>
      <c r="G106" s="26">
        <v>1</v>
      </c>
      <c r="H106" s="27" t="s">
        <v>40</v>
      </c>
      <c r="I106" s="28" t="s">
        <v>21</v>
      </c>
      <c r="J106" s="28" t="s">
        <v>22</v>
      </c>
      <c r="K106" s="26">
        <v>1</v>
      </c>
      <c r="L106" s="26">
        <v>1</v>
      </c>
      <c r="M106" s="26">
        <v>1</v>
      </c>
      <c r="N106" s="26">
        <v>1</v>
      </c>
      <c r="O106" s="29" t="s">
        <v>34</v>
      </c>
    </row>
    <row r="107" spans="2:15" ht="14.25">
      <c r="B107" s="11" t="s">
        <v>34</v>
      </c>
      <c r="C107" s="46">
        <v>15</v>
      </c>
      <c r="D107" s="46">
        <v>1</v>
      </c>
      <c r="E107" s="21">
        <v>55</v>
      </c>
      <c r="F107" s="21">
        <f>C96-(2*C107)</f>
        <v>975</v>
      </c>
      <c r="G107" s="21">
        <v>1</v>
      </c>
      <c r="H107" s="23" t="s">
        <v>47</v>
      </c>
      <c r="I107" s="13" t="s">
        <v>21</v>
      </c>
      <c r="J107" s="13" t="s">
        <v>22</v>
      </c>
      <c r="M107" s="21">
        <v>1</v>
      </c>
      <c r="O107" s="14" t="s">
        <v>34</v>
      </c>
    </row>
    <row r="108" spans="2:15" ht="14.25">
      <c r="B108" s="38" t="s">
        <v>34</v>
      </c>
      <c r="C108" s="39">
        <v>15</v>
      </c>
      <c r="D108" s="39">
        <v>1</v>
      </c>
      <c r="E108" s="40">
        <v>40</v>
      </c>
      <c r="F108" s="40">
        <f>C96-(2*C108)</f>
        <v>975</v>
      </c>
      <c r="G108" s="40">
        <v>1</v>
      </c>
      <c r="H108" s="41" t="s">
        <v>47</v>
      </c>
      <c r="I108" s="42" t="s">
        <v>21</v>
      </c>
      <c r="J108" s="42" t="s">
        <v>22</v>
      </c>
      <c r="K108" s="40"/>
      <c r="L108" s="40"/>
      <c r="M108" s="40">
        <v>1</v>
      </c>
      <c r="N108" s="40"/>
      <c r="O108" s="43" t="s">
        <v>34</v>
      </c>
    </row>
    <row r="109" spans="2:15" ht="14.25">
      <c r="B109" s="11" t="s">
        <v>19</v>
      </c>
      <c r="C109" s="46">
        <v>15</v>
      </c>
      <c r="D109" s="46">
        <v>1</v>
      </c>
      <c r="E109" s="45">
        <f>C98</f>
        <v>710</v>
      </c>
      <c r="F109" s="45">
        <f>C97</f>
        <v>585</v>
      </c>
      <c r="G109" s="12">
        <v>1</v>
      </c>
      <c r="H109" s="12" t="s">
        <v>20</v>
      </c>
      <c r="I109" s="13" t="s">
        <v>21</v>
      </c>
      <c r="J109" s="13" t="s">
        <v>22</v>
      </c>
      <c r="K109" s="46">
        <v>1</v>
      </c>
      <c r="L109" s="46"/>
      <c r="M109" s="46"/>
      <c r="N109" s="46"/>
      <c r="O109" s="14" t="s">
        <v>34</v>
      </c>
    </row>
    <row r="110" spans="2:15" ht="14.25">
      <c r="B110" s="11" t="s">
        <v>19</v>
      </c>
      <c r="C110" s="46">
        <v>15</v>
      </c>
      <c r="D110" s="46">
        <v>1</v>
      </c>
      <c r="E110" s="21">
        <f>C97</f>
        <v>585</v>
      </c>
      <c r="F110" s="21">
        <f>(C95-C97)-(1*C110)</f>
        <v>125</v>
      </c>
      <c r="G110" s="21">
        <v>1</v>
      </c>
      <c r="H110" s="22" t="s">
        <v>23</v>
      </c>
      <c r="I110" s="13" t="s">
        <v>21</v>
      </c>
      <c r="J110" s="13" t="s">
        <v>22</v>
      </c>
      <c r="M110" s="21">
        <v>1</v>
      </c>
      <c r="O110" s="14" t="s">
        <v>34</v>
      </c>
    </row>
    <row r="111" spans="2:15" ht="14.25">
      <c r="B111" s="11" t="s">
        <v>19</v>
      </c>
      <c r="C111" s="46">
        <v>15</v>
      </c>
      <c r="D111" s="46">
        <v>1</v>
      </c>
      <c r="E111" s="21">
        <f>C98-(C111*2)</f>
        <v>680</v>
      </c>
      <c r="F111" s="21">
        <f>C95-C97-(1*C111)</f>
        <v>125</v>
      </c>
      <c r="G111" s="21">
        <v>1</v>
      </c>
      <c r="H111" s="22" t="s">
        <v>36</v>
      </c>
      <c r="I111" s="13" t="s">
        <v>21</v>
      </c>
      <c r="J111" s="13" t="s">
        <v>22</v>
      </c>
      <c r="O111" s="14"/>
    </row>
    <row r="112" spans="2:15" ht="14.25">
      <c r="B112" s="11" t="s">
        <v>19</v>
      </c>
      <c r="C112" s="46">
        <v>15</v>
      </c>
      <c r="D112" s="46">
        <v>1</v>
      </c>
      <c r="E112" s="21">
        <f>C97-C112-E116</f>
        <v>530</v>
      </c>
      <c r="F112" s="21">
        <f>C95-C97-(1*C112)</f>
        <v>125</v>
      </c>
      <c r="G112" s="21">
        <v>1</v>
      </c>
      <c r="H112" s="23" t="s">
        <v>35</v>
      </c>
      <c r="I112" s="13" t="s">
        <v>21</v>
      </c>
      <c r="J112" s="13" t="s">
        <v>22</v>
      </c>
      <c r="M112" s="21">
        <v>1</v>
      </c>
      <c r="N112" s="21">
        <v>1</v>
      </c>
      <c r="O112" s="14" t="s">
        <v>19</v>
      </c>
    </row>
    <row r="113" spans="2:15" ht="14.25">
      <c r="B113" s="11" t="s">
        <v>19</v>
      </c>
      <c r="C113" s="12">
        <v>15</v>
      </c>
      <c r="D113" s="12">
        <v>1</v>
      </c>
      <c r="E113" s="21">
        <f>C97-(1*C113)</f>
        <v>570</v>
      </c>
      <c r="F113" s="21">
        <f>C95-C97-(1*C113)</f>
        <v>125</v>
      </c>
      <c r="G113" s="21">
        <v>1</v>
      </c>
      <c r="H113" s="22" t="s">
        <v>38</v>
      </c>
      <c r="I113" s="13" t="s">
        <v>21</v>
      </c>
      <c r="J113" s="13" t="s">
        <v>22</v>
      </c>
      <c r="K113" s="21"/>
      <c r="L113" s="21"/>
      <c r="M113" s="21"/>
      <c r="N113" s="21">
        <v>1</v>
      </c>
      <c r="O113" s="14" t="s">
        <v>19</v>
      </c>
    </row>
    <row r="114" spans="2:15" ht="14.25">
      <c r="B114" s="24" t="s">
        <v>34</v>
      </c>
      <c r="C114" s="37">
        <v>15</v>
      </c>
      <c r="D114" s="37">
        <v>1</v>
      </c>
      <c r="E114" s="26">
        <f>C98-40</f>
        <v>670</v>
      </c>
      <c r="F114" s="26">
        <f>C95-C97-5</f>
        <v>135</v>
      </c>
      <c r="G114" s="26">
        <v>1</v>
      </c>
      <c r="H114" s="27" t="s">
        <v>40</v>
      </c>
      <c r="I114" s="28" t="s">
        <v>21</v>
      </c>
      <c r="J114" s="28" t="s">
        <v>22</v>
      </c>
      <c r="K114" s="26">
        <v>1</v>
      </c>
      <c r="L114" s="26">
        <v>1</v>
      </c>
      <c r="M114" s="26">
        <v>1</v>
      </c>
      <c r="N114" s="26">
        <v>1</v>
      </c>
      <c r="O114" s="29" t="s">
        <v>34</v>
      </c>
    </row>
    <row r="115" spans="2:15" ht="14.25">
      <c r="B115" s="11" t="s">
        <v>34</v>
      </c>
      <c r="C115" s="46">
        <v>15</v>
      </c>
      <c r="D115" s="46">
        <v>1</v>
      </c>
      <c r="E115" s="21">
        <v>55</v>
      </c>
      <c r="F115" s="21">
        <f>C95-C97-C115</f>
        <v>125</v>
      </c>
      <c r="G115" s="21">
        <v>1</v>
      </c>
      <c r="H115" s="23" t="s">
        <v>47</v>
      </c>
      <c r="I115" s="13" t="s">
        <v>21</v>
      </c>
      <c r="J115" s="13" t="s">
        <v>22</v>
      </c>
      <c r="M115" s="21">
        <v>1</v>
      </c>
      <c r="O115" s="14" t="s">
        <v>34</v>
      </c>
    </row>
    <row r="116" spans="2:15" ht="14.25">
      <c r="B116" s="38" t="s">
        <v>34</v>
      </c>
      <c r="C116" s="39">
        <v>15</v>
      </c>
      <c r="D116" s="39">
        <v>1</v>
      </c>
      <c r="E116" s="40">
        <v>40</v>
      </c>
      <c r="F116" s="40">
        <f>C95-C97-C116</f>
        <v>125</v>
      </c>
      <c r="G116" s="40">
        <v>1</v>
      </c>
      <c r="H116" s="41" t="s">
        <v>47</v>
      </c>
      <c r="I116" s="42" t="s">
        <v>21</v>
      </c>
      <c r="J116" s="42" t="s">
        <v>22</v>
      </c>
      <c r="K116" s="40"/>
      <c r="L116" s="40"/>
      <c r="M116" s="40">
        <v>1</v>
      </c>
      <c r="N116" s="40"/>
      <c r="O116" s="43" t="s">
        <v>34</v>
      </c>
    </row>
    <row r="118" spans="2:15" ht="12.75">
      <c r="B118" s="53" t="s">
        <v>56</v>
      </c>
      <c r="C118" s="54"/>
    </row>
    <row r="119" spans="2:15" ht="12.75">
      <c r="B119" s="1" t="s">
        <v>26</v>
      </c>
      <c r="C119" s="1" t="s">
        <v>27</v>
      </c>
    </row>
    <row r="120" spans="2:15" ht="12.75">
      <c r="B120" s="2" t="s">
        <v>13</v>
      </c>
      <c r="C120" s="3">
        <v>600</v>
      </c>
    </row>
    <row r="121" spans="2:15" ht="12.75">
      <c r="B121" s="2" t="s">
        <v>28</v>
      </c>
      <c r="C121" s="3">
        <v>550</v>
      </c>
    </row>
    <row r="122" spans="2:15" ht="12.75">
      <c r="B122" s="4" t="s">
        <v>29</v>
      </c>
      <c r="C122" s="5">
        <v>870</v>
      </c>
    </row>
    <row r="124" spans="2:15" ht="42.75">
      <c r="B124" s="6" t="s">
        <v>9</v>
      </c>
      <c r="C124" s="7" t="s">
        <v>10</v>
      </c>
      <c r="D124" s="7" t="s">
        <v>11</v>
      </c>
      <c r="E124" s="8" t="s">
        <v>12</v>
      </c>
      <c r="F124" s="8" t="s">
        <v>13</v>
      </c>
      <c r="G124" s="8" t="s">
        <v>14</v>
      </c>
      <c r="H124" s="8" t="s">
        <v>15</v>
      </c>
      <c r="I124" s="7" t="s">
        <v>16</v>
      </c>
      <c r="J124" s="7" t="s">
        <v>17</v>
      </c>
      <c r="K124" s="9" t="s">
        <v>30</v>
      </c>
      <c r="L124" s="9" t="s">
        <v>31</v>
      </c>
      <c r="M124" s="9" t="s">
        <v>32</v>
      </c>
      <c r="N124" s="9" t="s">
        <v>33</v>
      </c>
      <c r="O124" s="10" t="s">
        <v>18</v>
      </c>
    </row>
    <row r="125" spans="2:15" ht="14.25">
      <c r="B125" s="11" t="s">
        <v>19</v>
      </c>
      <c r="C125" s="46">
        <v>15</v>
      </c>
      <c r="D125" s="46">
        <v>1</v>
      </c>
      <c r="E125" s="45">
        <f>C122</f>
        <v>870</v>
      </c>
      <c r="F125" s="45">
        <f>C121</f>
        <v>550</v>
      </c>
      <c r="G125" s="46">
        <v>2</v>
      </c>
      <c r="H125" s="12" t="s">
        <v>20</v>
      </c>
      <c r="I125" s="13" t="s">
        <v>21</v>
      </c>
      <c r="J125" s="13" t="s">
        <v>22</v>
      </c>
      <c r="K125" s="46">
        <v>1</v>
      </c>
      <c r="L125" s="46"/>
      <c r="M125" s="46"/>
      <c r="N125" s="46"/>
      <c r="O125" s="14" t="s">
        <v>34</v>
      </c>
    </row>
    <row r="126" spans="2:15" ht="14.25">
      <c r="B126" s="11" t="s">
        <v>19</v>
      </c>
      <c r="C126" s="46">
        <v>15</v>
      </c>
      <c r="D126" s="46">
        <v>1</v>
      </c>
      <c r="E126" s="21">
        <f>C121</f>
        <v>550</v>
      </c>
      <c r="F126" s="21">
        <f>C120-(2*C126)</f>
        <v>570</v>
      </c>
      <c r="G126" s="21">
        <v>1</v>
      </c>
      <c r="H126" s="22" t="s">
        <v>23</v>
      </c>
      <c r="I126" s="13" t="s">
        <v>21</v>
      </c>
      <c r="J126" s="13" t="s">
        <v>22</v>
      </c>
      <c r="M126" s="21">
        <v>1</v>
      </c>
      <c r="O126" s="14" t="s">
        <v>34</v>
      </c>
    </row>
    <row r="127" spans="2:15" ht="14.25">
      <c r="B127" s="11" t="s">
        <v>19</v>
      </c>
      <c r="C127" s="46">
        <v>15</v>
      </c>
      <c r="D127" s="46">
        <v>1</v>
      </c>
      <c r="E127" s="21">
        <v>100</v>
      </c>
      <c r="F127" s="21">
        <f>C120-(2*C127)</f>
        <v>570</v>
      </c>
      <c r="G127" s="21">
        <v>3</v>
      </c>
      <c r="H127" s="22" t="s">
        <v>36</v>
      </c>
      <c r="I127" s="13" t="s">
        <v>21</v>
      </c>
      <c r="J127" s="13" t="s">
        <v>22</v>
      </c>
      <c r="M127" s="21">
        <v>1</v>
      </c>
      <c r="N127" s="21">
        <v>1</v>
      </c>
      <c r="O127" s="14" t="s">
        <v>19</v>
      </c>
    </row>
    <row r="128" spans="2:15" ht="14.25">
      <c r="B128" s="11" t="s">
        <v>19</v>
      </c>
      <c r="C128" s="46">
        <v>15</v>
      </c>
      <c r="D128" s="46">
        <v>1</v>
      </c>
      <c r="E128" s="21">
        <v>100</v>
      </c>
      <c r="F128" s="21">
        <f>C120-(2*C128)</f>
        <v>570</v>
      </c>
      <c r="G128" s="21">
        <v>2</v>
      </c>
      <c r="H128" s="23" t="s">
        <v>35</v>
      </c>
      <c r="I128" s="13" t="s">
        <v>21</v>
      </c>
      <c r="J128" s="13" t="s">
        <v>22</v>
      </c>
      <c r="M128" s="21">
        <v>1</v>
      </c>
      <c r="N128" s="21">
        <v>1</v>
      </c>
      <c r="O128" s="14" t="s">
        <v>19</v>
      </c>
    </row>
    <row r="129" spans="2:15" ht="14.25">
      <c r="B129" s="11" t="s">
        <v>19</v>
      </c>
      <c r="C129" s="46">
        <v>15</v>
      </c>
      <c r="D129" s="46">
        <v>1</v>
      </c>
      <c r="E129" s="21">
        <f>450-(2*C129)</f>
        <v>420</v>
      </c>
      <c r="F129" s="44">
        <f>C120-(4*C129)-26</f>
        <v>514</v>
      </c>
      <c r="G129" s="21">
        <v>4</v>
      </c>
      <c r="H129" s="22" t="s">
        <v>37</v>
      </c>
      <c r="I129" s="13" t="s">
        <v>21</v>
      </c>
      <c r="J129" s="13" t="s">
        <v>22</v>
      </c>
      <c r="O129" s="14"/>
    </row>
    <row r="130" spans="2:15" ht="14.25">
      <c r="B130" s="11" t="s">
        <v>19</v>
      </c>
      <c r="C130" s="46">
        <v>15</v>
      </c>
      <c r="D130" s="46">
        <v>1</v>
      </c>
      <c r="E130" s="21">
        <v>450</v>
      </c>
      <c r="F130" s="21">
        <v>150</v>
      </c>
      <c r="G130" s="21">
        <v>8</v>
      </c>
      <c r="H130" s="22" t="s">
        <v>39</v>
      </c>
      <c r="I130" s="13" t="s">
        <v>21</v>
      </c>
      <c r="J130" s="13" t="s">
        <v>22</v>
      </c>
      <c r="K130" s="21">
        <v>1</v>
      </c>
      <c r="O130" s="14" t="s">
        <v>19</v>
      </c>
    </row>
    <row r="131" spans="2:15" ht="14.25">
      <c r="B131" s="11" t="s">
        <v>19</v>
      </c>
      <c r="C131" s="46">
        <v>15</v>
      </c>
      <c r="D131" s="46">
        <v>1</v>
      </c>
      <c r="E131" s="21">
        <f>C120-(4*C131)-26</f>
        <v>514</v>
      </c>
      <c r="F131" s="21">
        <v>150</v>
      </c>
      <c r="G131" s="21">
        <v>8</v>
      </c>
      <c r="H131" s="22" t="s">
        <v>41</v>
      </c>
      <c r="I131" s="13" t="s">
        <v>21</v>
      </c>
      <c r="J131" s="13" t="s">
        <v>22</v>
      </c>
      <c r="K131" s="21">
        <v>1</v>
      </c>
      <c r="O131" s="14" t="s">
        <v>19</v>
      </c>
    </row>
    <row r="132" spans="2:15" ht="14.25">
      <c r="B132" s="24" t="s">
        <v>34</v>
      </c>
      <c r="C132" s="37">
        <v>15</v>
      </c>
      <c r="D132" s="37">
        <v>1</v>
      </c>
      <c r="E132" s="26">
        <v>198</v>
      </c>
      <c r="F132" s="26">
        <f>C120-5</f>
        <v>595</v>
      </c>
      <c r="G132" s="26">
        <v>4</v>
      </c>
      <c r="H132" s="27" t="s">
        <v>24</v>
      </c>
      <c r="I132" s="28" t="s">
        <v>21</v>
      </c>
      <c r="J132" s="28" t="s">
        <v>22</v>
      </c>
      <c r="K132" s="26">
        <v>1</v>
      </c>
      <c r="L132" s="26">
        <v>1</v>
      </c>
      <c r="M132" s="26">
        <v>1</v>
      </c>
      <c r="N132" s="26">
        <v>1</v>
      </c>
      <c r="O132" s="29" t="s">
        <v>34</v>
      </c>
    </row>
    <row r="133" spans="2:15" ht="14.25">
      <c r="B133" s="11" t="s">
        <v>34</v>
      </c>
      <c r="C133" s="46">
        <v>15</v>
      </c>
      <c r="D133" s="46">
        <v>1</v>
      </c>
      <c r="E133" s="21">
        <v>55</v>
      </c>
      <c r="F133" s="21">
        <f>C120-(2*C133)</f>
        <v>570</v>
      </c>
      <c r="G133" s="21">
        <v>2</v>
      </c>
      <c r="H133" s="23" t="s">
        <v>47</v>
      </c>
      <c r="I133" s="13" t="s">
        <v>21</v>
      </c>
      <c r="J133" s="13" t="s">
        <v>22</v>
      </c>
      <c r="M133" s="21">
        <v>1</v>
      </c>
      <c r="O133" s="14" t="s">
        <v>34</v>
      </c>
    </row>
    <row r="134" spans="2:15" ht="14.25">
      <c r="B134" s="38" t="s">
        <v>34</v>
      </c>
      <c r="C134" s="39">
        <v>15</v>
      </c>
      <c r="D134" s="39">
        <v>1</v>
      </c>
      <c r="E134" s="40">
        <v>40</v>
      </c>
      <c r="F134" s="40">
        <f>C120-(2*C134)</f>
        <v>570</v>
      </c>
      <c r="G134" s="40">
        <v>2</v>
      </c>
      <c r="H134" s="41" t="s">
        <v>47</v>
      </c>
      <c r="I134" s="42" t="s">
        <v>21</v>
      </c>
      <c r="J134" s="42" t="s">
        <v>22</v>
      </c>
      <c r="K134" s="40"/>
      <c r="L134" s="40"/>
      <c r="M134" s="40">
        <v>1</v>
      </c>
      <c r="N134" s="40"/>
      <c r="O134" s="43" t="s">
        <v>34</v>
      </c>
    </row>
  </sheetData>
  <mergeCells count="11">
    <mergeCell ref="Q1:R1"/>
    <mergeCell ref="Q17:R17"/>
    <mergeCell ref="B23:C23"/>
    <mergeCell ref="Q23:R23"/>
    <mergeCell ref="B41:C41"/>
    <mergeCell ref="Q41:R41"/>
    <mergeCell ref="B59:C59"/>
    <mergeCell ref="B77:C77"/>
    <mergeCell ref="B93:C93"/>
    <mergeCell ref="B118:C118"/>
    <mergeCell ref="B1:C1"/>
  </mergeCells>
  <pageMargins left="0" right="0" top="0" bottom="0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Calculadora</vt:lpstr>
      <vt:lpstr>CalculadoraVieja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Guerrero</dc:creator>
  <cp:keywords/>
  <dc:description/>
  <cp:lastModifiedBy>Victor Emilio Guerrero</cp:lastModifiedBy>
  <cp:revision/>
  <dcterms:created xsi:type="dcterms:W3CDTF">2026-04-15T02:33:40Z</dcterms:created>
  <dcterms:modified xsi:type="dcterms:W3CDTF">2026-05-07T18:10:41Z</dcterms:modified>
  <cp:category/>
  <cp:contentStatus/>
</cp:coreProperties>
</file>